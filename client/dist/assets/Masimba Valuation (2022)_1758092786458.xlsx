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filterPrivacy="1" defaultThemeVersion="124226"/>
  <xr:revisionPtr revIDLastSave="114" documentId="13_ncr:1_{6BECAC72-2464-4EB4-A351-6667B61F77E8}" xr6:coauthVersionLast="47" xr6:coauthVersionMax="47" xr10:uidLastSave="{69A776C2-0C17-4054-B91C-C747ABA8B5AD}"/>
  <bookViews>
    <workbookView xWindow="-108" yWindow="-108" windowWidth="23256" windowHeight="12456" firstSheet="1" activeTab="9" xr2:uid="{00000000-000D-0000-FFFF-FFFF00000000}"/>
  </bookViews>
  <sheets>
    <sheet name="Company Profile" sheetId="48" r:id="rId1"/>
    <sheet name="Financials HY" sheetId="40" r:id="rId2"/>
    <sheet name="Quarters" sheetId="50" r:id="rId3"/>
    <sheet name="Data Input" sheetId="47" r:id="rId4"/>
    <sheet name="Financials FY" sheetId="21" r:id="rId5"/>
    <sheet name="DCF" sheetId="44" r:id="rId6"/>
    <sheet name="WACC" sheetId="24" r:id="rId7"/>
    <sheet name="Key Factors" sheetId="51" r:id="rId8"/>
    <sheet name="Ratings" sheetId="49" r:id="rId9"/>
    <sheet name="Notes" sheetId="52" r:id="rId10"/>
  </sheets>
  <externalReferences>
    <externalReference r:id="rId11"/>
    <externalReference r:id="rId12"/>
  </externalReferences>
  <definedNames>
    <definedName name="_30_Jun_13">[1]ESTIMATES!$A$4</definedName>
    <definedName name="current_price">[2]KeyData!$B$13</definedName>
    <definedName name="dcf_discount">DCF!$B$5</definedName>
    <definedName name="dcf_mos">'[2]DCF Valuation'!$E$3</definedName>
    <definedName name="Estiamtes">#REF!</definedName>
    <definedName name="ESTIMATES">[1]ESTIMATES!$A$1</definedName>
    <definedName name="FCFE_growth">[2]DCFData!$H$81</definedName>
    <definedName name="FCFF_growth">[2]DCFData!$H$82</definedName>
    <definedName name="graham_eps">#REF!</definedName>
    <definedName name="list_discount">[2]Lists!$E$2:$E$7</definedName>
    <definedName name="list_graham_sensitivity">[2]Lists!$M$2:$M$5</definedName>
    <definedName name="list_terminal">[2]Lists!$G$2:$G$9</definedName>
    <definedName name="user_discount">DCF!$B$6</definedName>
    <definedName name="user_fcf">DCF!$E$5</definedName>
    <definedName name="user_graham_growth">#REF!</definedName>
    <definedName name="user_growth">DCF!$G$5</definedName>
    <definedName name="WACC">WACC!$C$40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1" i="44" l="1"/>
  <c r="C42" i="44" s="1"/>
  <c r="M5" i="44"/>
  <c r="C34" i="24"/>
  <c r="C33" i="24"/>
  <c r="J75" i="40"/>
  <c r="C35" i="44"/>
  <c r="C34" i="44"/>
  <c r="C33" i="44"/>
  <c r="L8" i="44"/>
  <c r="L7" i="44"/>
  <c r="L6" i="44"/>
  <c r="L5" i="44"/>
  <c r="H83" i="40"/>
  <c r="I76" i="40"/>
  <c r="I75" i="40"/>
  <c r="M36" i="47"/>
  <c r="M38" i="47"/>
  <c r="H21" i="40"/>
  <c r="I21" i="40"/>
  <c r="I82" i="40"/>
  <c r="I83" i="40"/>
  <c r="I84" i="40"/>
  <c r="I85" i="40"/>
  <c r="I78" i="40"/>
  <c r="I13" i="40"/>
  <c r="I18" i="40"/>
  <c r="I52" i="40"/>
  <c r="I54" i="40"/>
  <c r="I72" i="40"/>
  <c r="I74" i="40"/>
  <c r="I69" i="40"/>
  <c r="I60" i="40"/>
  <c r="I70" i="40"/>
  <c r="I71" i="40"/>
  <c r="I41" i="40"/>
  <c r="I30" i="40"/>
  <c r="I43" i="40"/>
  <c r="I24" i="40"/>
  <c r="I23" i="40"/>
  <c r="I20" i="40"/>
  <c r="M6" i="44"/>
  <c r="B16" i="44"/>
  <c r="C16" i="44"/>
  <c r="D16" i="44"/>
  <c r="E16" i="44"/>
  <c r="F16" i="44"/>
  <c r="G16" i="44"/>
  <c r="H16" i="44"/>
  <c r="I16" i="44"/>
  <c r="J16" i="44"/>
  <c r="K16" i="44"/>
  <c r="L16" i="44"/>
  <c r="L17" i="44"/>
  <c r="L18" i="44"/>
  <c r="L19" i="44"/>
  <c r="L20" i="44"/>
  <c r="L25" i="44"/>
  <c r="C35" i="24"/>
  <c r="C37" i="24"/>
  <c r="C38" i="24"/>
  <c r="C40" i="24"/>
  <c r="M12" i="44"/>
  <c r="B21" i="44"/>
  <c r="C21" i="44"/>
  <c r="D21" i="44"/>
  <c r="E21" i="44"/>
  <c r="F21" i="44"/>
  <c r="G21" i="44"/>
  <c r="H21" i="44"/>
  <c r="I21" i="44"/>
  <c r="J21" i="44"/>
  <c r="K21" i="44"/>
  <c r="L21" i="44"/>
  <c r="L26" i="44"/>
  <c r="K17" i="44"/>
  <c r="K18" i="44"/>
  <c r="K19" i="44"/>
  <c r="K20" i="44"/>
  <c r="C31" i="44"/>
  <c r="I17" i="44"/>
  <c r="I18" i="44"/>
  <c r="I19" i="44"/>
  <c r="I20" i="44"/>
  <c r="I26" i="44"/>
  <c r="J17" i="44"/>
  <c r="J18" i="44"/>
  <c r="J19" i="44"/>
  <c r="J20" i="44"/>
  <c r="J26" i="44"/>
  <c r="K26" i="44"/>
  <c r="B17" i="44"/>
  <c r="B18" i="44"/>
  <c r="B19" i="44"/>
  <c r="B20" i="44"/>
  <c r="B26" i="44"/>
  <c r="C17" i="44"/>
  <c r="C18" i="44"/>
  <c r="C19" i="44"/>
  <c r="C20" i="44"/>
  <c r="C26" i="44"/>
  <c r="D17" i="44"/>
  <c r="D18" i="44"/>
  <c r="D19" i="44"/>
  <c r="D20" i="44"/>
  <c r="D26" i="44"/>
  <c r="E17" i="44"/>
  <c r="E18" i="44"/>
  <c r="E19" i="44"/>
  <c r="E20" i="44"/>
  <c r="E26" i="44"/>
  <c r="F17" i="44"/>
  <c r="F18" i="44"/>
  <c r="F19" i="44"/>
  <c r="F20" i="44"/>
  <c r="F26" i="44"/>
  <c r="G17" i="44"/>
  <c r="G18" i="44"/>
  <c r="G19" i="44"/>
  <c r="G20" i="44"/>
  <c r="G26" i="44"/>
  <c r="H17" i="44"/>
  <c r="H18" i="44"/>
  <c r="H19" i="44"/>
  <c r="H20" i="44"/>
  <c r="H26" i="44"/>
  <c r="C32" i="44"/>
  <c r="C38" i="44"/>
  <c r="F40" i="44"/>
  <c r="F39" i="44"/>
  <c r="N49" i="47"/>
  <c r="N46" i="47"/>
  <c r="M54" i="47"/>
  <c r="M55" i="47"/>
  <c r="N50" i="47"/>
  <c r="M45" i="47"/>
  <c r="M52" i="47"/>
  <c r="M51" i="47"/>
  <c r="N45" i="47"/>
  <c r="N48" i="47"/>
  <c r="N47" i="47"/>
  <c r="M49" i="47"/>
  <c r="M48" i="47"/>
  <c r="M47" i="47"/>
  <c r="M46" i="47"/>
  <c r="R130" i="21"/>
  <c r="R134" i="21"/>
  <c r="F44" i="44"/>
  <c r="F43" i="44"/>
  <c r="M40" i="47"/>
  <c r="H7" i="21"/>
  <c r="I7" i="21"/>
  <c r="H12" i="21"/>
  <c r="I12" i="21"/>
  <c r="H6" i="21"/>
  <c r="I6" i="21"/>
  <c r="I5" i="21"/>
  <c r="T13" i="47"/>
  <c r="S19" i="21"/>
  <c r="C39" i="47"/>
  <c r="D39" i="47"/>
  <c r="E39" i="47"/>
  <c r="F39" i="47"/>
  <c r="G39" i="47"/>
  <c r="H39" i="47"/>
  <c r="I39" i="47"/>
  <c r="J39" i="47"/>
  <c r="K39" i="47"/>
  <c r="L39" i="47"/>
  <c r="M39" i="47"/>
  <c r="W22" i="47"/>
  <c r="W28" i="47"/>
  <c r="W34" i="47"/>
  <c r="W46" i="47"/>
  <c r="X22" i="47"/>
  <c r="X28" i="47"/>
  <c r="X34" i="47"/>
  <c r="X46" i="47"/>
  <c r="Y22" i="47"/>
  <c r="Y28" i="47"/>
  <c r="Y34" i="47"/>
  <c r="Y46" i="47"/>
  <c r="Z22" i="47"/>
  <c r="Z28" i="47"/>
  <c r="Z34" i="47"/>
  <c r="Z46" i="47"/>
  <c r="AA22" i="47"/>
  <c r="AA28" i="47"/>
  <c r="AA34" i="47"/>
  <c r="AA46" i="47"/>
  <c r="Q134" i="21"/>
  <c r="C20" i="24"/>
  <c r="P3" i="21"/>
  <c r="Q3" i="21"/>
  <c r="I5" i="44"/>
  <c r="J5" i="44"/>
  <c r="J10" i="44"/>
  <c r="K5" i="44"/>
  <c r="K10" i="44"/>
  <c r="I6" i="44"/>
  <c r="J6" i="44"/>
  <c r="K6" i="44"/>
  <c r="I7" i="44"/>
  <c r="I8" i="44"/>
  <c r="J7" i="44"/>
  <c r="K7" i="44"/>
  <c r="I9" i="44"/>
  <c r="J9" i="44"/>
  <c r="K9" i="44"/>
  <c r="K11" i="44"/>
  <c r="I10" i="44"/>
  <c r="K13" i="44"/>
  <c r="L3" i="47"/>
  <c r="Z37" i="47"/>
  <c r="M3" i="47"/>
  <c r="AA37" i="47"/>
  <c r="L4" i="47"/>
  <c r="M4" i="47"/>
  <c r="L5" i="47"/>
  <c r="M5" i="47"/>
  <c r="L6" i="47"/>
  <c r="Z32" i="47"/>
  <c r="M6" i="47"/>
  <c r="AA32" i="47"/>
  <c r="L9" i="47"/>
  <c r="L10" i="47"/>
  <c r="M10" i="47"/>
  <c r="L12" i="47"/>
  <c r="M12" i="47"/>
  <c r="L14" i="47"/>
  <c r="M14" i="47"/>
  <c r="L15" i="47"/>
  <c r="Z26" i="47"/>
  <c r="M15" i="47"/>
  <c r="AA26" i="47"/>
  <c r="L16" i="47"/>
  <c r="Z23" i="47"/>
  <c r="M16" i="47"/>
  <c r="AA23" i="47"/>
  <c r="L17" i="47"/>
  <c r="Z42" i="47"/>
  <c r="M17" i="47"/>
  <c r="AA42" i="47"/>
  <c r="L18" i="47"/>
  <c r="Z57" i="47"/>
  <c r="M18" i="47"/>
  <c r="L19" i="47"/>
  <c r="Z30" i="47"/>
  <c r="M19" i="47"/>
  <c r="AA30" i="47"/>
  <c r="L20" i="47"/>
  <c r="M20" i="47"/>
  <c r="L22" i="47"/>
  <c r="Z29" i="47"/>
  <c r="M22" i="47"/>
  <c r="AA29" i="47"/>
  <c r="L23" i="47"/>
  <c r="M23" i="47"/>
  <c r="L24" i="47"/>
  <c r="M24" i="47"/>
  <c r="AA36" i="47"/>
  <c r="L25" i="47"/>
  <c r="Z41" i="47"/>
  <c r="M25" i="47"/>
  <c r="AA41" i="47"/>
  <c r="L26" i="47"/>
  <c r="Z40" i="47"/>
  <c r="M26" i="47"/>
  <c r="AA40" i="47"/>
  <c r="L27" i="47"/>
  <c r="M27" i="47"/>
  <c r="L28" i="47"/>
  <c r="M28" i="47"/>
  <c r="L29" i="47"/>
  <c r="M29" i="47"/>
  <c r="L30" i="47"/>
  <c r="Z38" i="47"/>
  <c r="M30" i="47"/>
  <c r="AA38" i="47"/>
  <c r="L31" i="47"/>
  <c r="M31" i="47"/>
  <c r="AA39" i="47"/>
  <c r="L32" i="47"/>
  <c r="Z35" i="47"/>
  <c r="M32" i="47"/>
  <c r="AA35" i="47"/>
  <c r="L33" i="47"/>
  <c r="Z31" i="47"/>
  <c r="M33" i="47"/>
  <c r="AA31" i="47"/>
  <c r="L34" i="47"/>
  <c r="M34" i="47"/>
  <c r="L37" i="47"/>
  <c r="M37" i="47"/>
  <c r="L38" i="47"/>
  <c r="P97" i="21"/>
  <c r="Q97" i="21"/>
  <c r="P35" i="21"/>
  <c r="Q35" i="21"/>
  <c r="Q142" i="21"/>
  <c r="Q141" i="21"/>
  <c r="Q119" i="21"/>
  <c r="Q111" i="21"/>
  <c r="Q121" i="21"/>
  <c r="Q125" i="21"/>
  <c r="Q140" i="21"/>
  <c r="Q143" i="21"/>
  <c r="Q144" i="21"/>
  <c r="Q124" i="21"/>
  <c r="Q126" i="21"/>
  <c r="Q86" i="21"/>
  <c r="Q87" i="21"/>
  <c r="Q77" i="21"/>
  <c r="Q69" i="21"/>
  <c r="Q71" i="21"/>
  <c r="Q58" i="21"/>
  <c r="Q47" i="21"/>
  <c r="Q40" i="21"/>
  <c r="Q10" i="21"/>
  <c r="Q17" i="21"/>
  <c r="Q135" i="21"/>
  <c r="Z53" i="47"/>
  <c r="AA51" i="47"/>
  <c r="Z55" i="47"/>
  <c r="AA57" i="47"/>
  <c r="AA50" i="47"/>
  <c r="AA56" i="47"/>
  <c r="Z51" i="47"/>
  <c r="AA55" i="47"/>
  <c r="Z50" i="47"/>
  <c r="AA54" i="47"/>
  <c r="AA53" i="47"/>
  <c r="AA52" i="47"/>
  <c r="Z52" i="47"/>
  <c r="Z48" i="47"/>
  <c r="AA48" i="47"/>
  <c r="AA49" i="47"/>
  <c r="Z39" i="47"/>
  <c r="Z36" i="47"/>
  <c r="L40" i="47"/>
  <c r="Q27" i="47"/>
  <c r="AA25" i="47"/>
  <c r="Z25" i="47"/>
  <c r="Q24" i="47"/>
  <c r="T16" i="47"/>
  <c r="J8" i="44"/>
  <c r="K8" i="44"/>
  <c r="J13" i="44"/>
  <c r="I13" i="44"/>
  <c r="J11" i="44"/>
  <c r="I11" i="44"/>
  <c r="Q120" i="21"/>
  <c r="Q88" i="21"/>
  <c r="Q60" i="21"/>
  <c r="Q39" i="21"/>
  <c r="Q19" i="21"/>
  <c r="Q138" i="21"/>
  <c r="Q136" i="21"/>
  <c r="Q5" i="21"/>
  <c r="M7" i="47"/>
  <c r="Q122" i="21"/>
  <c r="AA24" i="47"/>
  <c r="Q21" i="21"/>
  <c r="Q23" i="21"/>
  <c r="Q32" i="21"/>
  <c r="Q30" i="21"/>
  <c r="Q27" i="21"/>
  <c r="Q25" i="21"/>
  <c r="B74" i="40"/>
  <c r="H82" i="40"/>
  <c r="H78" i="40"/>
  <c r="H75" i="40"/>
  <c r="H69" i="40"/>
  <c r="H52" i="40"/>
  <c r="H54" i="40"/>
  <c r="H72" i="40"/>
  <c r="H41" i="40"/>
  <c r="H30" i="40"/>
  <c r="H24" i="40"/>
  <c r="H23" i="40"/>
  <c r="H13" i="40"/>
  <c r="Q36" i="21"/>
  <c r="Q34" i="21"/>
  <c r="H70" i="40"/>
  <c r="H84" i="40"/>
  <c r="H85" i="40"/>
  <c r="H43" i="40"/>
  <c r="H71" i="40"/>
  <c r="H18" i="40"/>
  <c r="R12" i="52"/>
  <c r="H20" i="40"/>
  <c r="H74" i="40"/>
  <c r="Q12" i="52"/>
  <c r="Q9" i="52"/>
  <c r="Q5" i="52"/>
  <c r="Q6" i="52"/>
  <c r="Q15" i="52"/>
  <c r="H5" i="44"/>
  <c r="J3" i="47"/>
  <c r="X37" i="47"/>
  <c r="K3" i="47"/>
  <c r="Y37" i="47"/>
  <c r="J5" i="47"/>
  <c r="K5" i="47"/>
  <c r="K9" i="47"/>
  <c r="J12" i="47"/>
  <c r="K12" i="47"/>
  <c r="J16" i="47"/>
  <c r="K16" i="47"/>
  <c r="J18" i="47"/>
  <c r="K18" i="47"/>
  <c r="J19" i="47"/>
  <c r="X30" i="47"/>
  <c r="K19" i="47"/>
  <c r="Y30" i="47"/>
  <c r="J20" i="47"/>
  <c r="K20" i="47"/>
  <c r="J23" i="47"/>
  <c r="K23" i="47"/>
  <c r="J27" i="47"/>
  <c r="K27" i="47"/>
  <c r="J28" i="47"/>
  <c r="K28" i="47"/>
  <c r="J29" i="47"/>
  <c r="K29" i="47"/>
  <c r="J30" i="47"/>
  <c r="K30" i="47"/>
  <c r="J31" i="47"/>
  <c r="X39" i="47"/>
  <c r="K31" i="47"/>
  <c r="Y39" i="47"/>
  <c r="J34" i="47"/>
  <c r="K34" i="47"/>
  <c r="G125" i="21"/>
  <c r="P142" i="21"/>
  <c r="P141" i="21"/>
  <c r="P135" i="21"/>
  <c r="P134" i="21"/>
  <c r="L36" i="47"/>
  <c r="Z56" i="47"/>
  <c r="P119" i="21"/>
  <c r="P111" i="21"/>
  <c r="P121" i="21"/>
  <c r="P125" i="21"/>
  <c r="P140" i="21"/>
  <c r="P122" i="21"/>
  <c r="P86" i="21"/>
  <c r="P77" i="21"/>
  <c r="P69" i="21"/>
  <c r="P71" i="21"/>
  <c r="P58" i="21"/>
  <c r="P47" i="21"/>
  <c r="P40" i="21"/>
  <c r="P10" i="21"/>
  <c r="P17" i="21"/>
  <c r="P5" i="21"/>
  <c r="L7" i="47"/>
  <c r="Z24" i="47"/>
  <c r="Y38" i="47"/>
  <c r="Y23" i="47"/>
  <c r="X38" i="47"/>
  <c r="X23" i="47"/>
  <c r="P124" i="21"/>
  <c r="P60" i="21"/>
  <c r="P126" i="21"/>
  <c r="Q37" i="47"/>
  <c r="P143" i="21"/>
  <c r="P144" i="21"/>
  <c r="Q9" i="47"/>
  <c r="P120" i="21"/>
  <c r="P87" i="21"/>
  <c r="P88" i="21"/>
  <c r="P19" i="21"/>
  <c r="P39" i="21"/>
  <c r="P138" i="21"/>
  <c r="P136" i="21"/>
  <c r="T14" i="47"/>
  <c r="M9" i="47"/>
  <c r="R8" i="52"/>
  <c r="R9" i="52"/>
  <c r="P27" i="21"/>
  <c r="P25" i="21"/>
  <c r="P21" i="21"/>
  <c r="P23" i="21"/>
  <c r="P32" i="21"/>
  <c r="P30" i="21"/>
  <c r="P34" i="21"/>
  <c r="P36" i="21"/>
  <c r="D78" i="40"/>
  <c r="E78" i="40"/>
  <c r="F78" i="40"/>
  <c r="G78" i="40"/>
  <c r="F3" i="40"/>
  <c r="G83" i="40"/>
  <c r="G82" i="40"/>
  <c r="G75" i="40"/>
  <c r="G69" i="40"/>
  <c r="G60" i="40"/>
  <c r="G52" i="40"/>
  <c r="G54" i="40"/>
  <c r="G72" i="40"/>
  <c r="G41" i="40"/>
  <c r="G30" i="40"/>
  <c r="G24" i="40"/>
  <c r="G23" i="40"/>
  <c r="G13" i="40"/>
  <c r="G18" i="40"/>
  <c r="G20" i="40"/>
  <c r="G70" i="40"/>
  <c r="G71" i="40"/>
  <c r="G43" i="40"/>
  <c r="G84" i="40"/>
  <c r="G85" i="40"/>
  <c r="G21" i="40"/>
  <c r="G74" i="40"/>
  <c r="U22" i="47"/>
  <c r="U28" i="47"/>
  <c r="U34" i="47"/>
  <c r="U46" i="47"/>
  <c r="V22" i="47"/>
  <c r="V28" i="47"/>
  <c r="V34" i="47"/>
  <c r="V46" i="47"/>
  <c r="H3" i="47"/>
  <c r="V37" i="47"/>
  <c r="I3" i="47"/>
  <c r="W37" i="47"/>
  <c r="H5" i="47"/>
  <c r="I5" i="47"/>
  <c r="H12" i="47"/>
  <c r="I12" i="47"/>
  <c r="H16" i="47"/>
  <c r="I16" i="47"/>
  <c r="H18" i="47"/>
  <c r="I18" i="47"/>
  <c r="H19" i="47"/>
  <c r="V30" i="47"/>
  <c r="I19" i="47"/>
  <c r="W30" i="47"/>
  <c r="H20" i="47"/>
  <c r="I20" i="47"/>
  <c r="H23" i="47"/>
  <c r="I23" i="47"/>
  <c r="Q11" i="47"/>
  <c r="H27" i="47"/>
  <c r="I27" i="47"/>
  <c r="I28" i="47"/>
  <c r="H29" i="47"/>
  <c r="I29" i="47"/>
  <c r="H30" i="47"/>
  <c r="I30" i="47"/>
  <c r="H31" i="47"/>
  <c r="V39" i="47"/>
  <c r="I31" i="47"/>
  <c r="W39" i="47"/>
  <c r="H34" i="47"/>
  <c r="I34" i="47"/>
  <c r="F5" i="44"/>
  <c r="G5" i="44"/>
  <c r="H6" i="44"/>
  <c r="O142" i="21"/>
  <c r="O141" i="21"/>
  <c r="O135" i="21"/>
  <c r="O134" i="21"/>
  <c r="K36" i="47"/>
  <c r="O119" i="21"/>
  <c r="O111" i="21"/>
  <c r="O121" i="21"/>
  <c r="O97" i="21"/>
  <c r="O86" i="21"/>
  <c r="O77" i="21"/>
  <c r="O69" i="21"/>
  <c r="O71" i="21"/>
  <c r="O58" i="21"/>
  <c r="K24" i="47"/>
  <c r="O47" i="21"/>
  <c r="O40" i="21"/>
  <c r="O10" i="21"/>
  <c r="O5" i="21"/>
  <c r="K7" i="47"/>
  <c r="Y24" i="47"/>
  <c r="W38" i="47"/>
  <c r="W23" i="47"/>
  <c r="Y36" i="47"/>
  <c r="K32" i="47"/>
  <c r="Y35" i="47"/>
  <c r="K25" i="47"/>
  <c r="Y41" i="47"/>
  <c r="K22" i="47"/>
  <c r="Y57" i="47"/>
  <c r="O124" i="21"/>
  <c r="O125" i="21"/>
  <c r="O140" i="21"/>
  <c r="O143" i="21"/>
  <c r="O144" i="21"/>
  <c r="K6" i="47"/>
  <c r="Y32" i="47"/>
  <c r="K4" i="47"/>
  <c r="K38" i="47"/>
  <c r="K17" i="47"/>
  <c r="Y55" i="47"/>
  <c r="K26" i="47"/>
  <c r="Y40" i="47"/>
  <c r="G6" i="44"/>
  <c r="O17" i="21"/>
  <c r="O19" i="21"/>
  <c r="K15" i="47"/>
  <c r="K10" i="47"/>
  <c r="Y52" i="47"/>
  <c r="O138" i="21"/>
  <c r="V38" i="47"/>
  <c r="V23" i="47"/>
  <c r="O126" i="21"/>
  <c r="K33" i="47"/>
  <c r="Y31" i="47"/>
  <c r="O120" i="21"/>
  <c r="O87" i="21"/>
  <c r="O88" i="21"/>
  <c r="O60" i="21"/>
  <c r="O21" i="21"/>
  <c r="O23" i="21"/>
  <c r="O32" i="21"/>
  <c r="O30" i="21"/>
  <c r="O122" i="21"/>
  <c r="O136" i="21"/>
  <c r="Y51" i="47"/>
  <c r="Y56" i="47"/>
  <c r="Z54" i="47"/>
  <c r="Y53" i="47"/>
  <c r="Y48" i="47"/>
  <c r="Y25" i="47"/>
  <c r="Z49" i="47"/>
  <c r="Y26" i="47"/>
  <c r="Y29" i="47"/>
  <c r="Y42" i="47"/>
  <c r="O39" i="21"/>
  <c r="K37" i="47"/>
  <c r="Y50" i="47"/>
  <c r="O27" i="21"/>
  <c r="O25" i="21"/>
  <c r="K14" i="47"/>
  <c r="K40" i="47"/>
  <c r="Q18" i="47"/>
  <c r="Q10" i="47"/>
  <c r="O36" i="21"/>
  <c r="O34" i="21"/>
  <c r="R15" i="52"/>
  <c r="R16" i="52"/>
  <c r="F83" i="40"/>
  <c r="F82" i="40"/>
  <c r="E75" i="40"/>
  <c r="F75" i="40"/>
  <c r="F69" i="40"/>
  <c r="F60" i="40"/>
  <c r="F52" i="40"/>
  <c r="F54" i="40"/>
  <c r="F41" i="40"/>
  <c r="F30" i="40"/>
  <c r="F24" i="40"/>
  <c r="F23" i="40"/>
  <c r="F13" i="40"/>
  <c r="F84" i="40"/>
  <c r="F85" i="40"/>
  <c r="F18" i="40"/>
  <c r="F21" i="40"/>
  <c r="F74" i="40"/>
  <c r="F72" i="40"/>
  <c r="F70" i="40"/>
  <c r="F71" i="40"/>
  <c r="F43" i="40"/>
  <c r="F20" i="40"/>
  <c r="M5" i="21"/>
  <c r="I7" i="47"/>
  <c r="N5" i="21"/>
  <c r="J7" i="47"/>
  <c r="X24" i="47"/>
  <c r="W24" i="47"/>
  <c r="D5" i="44"/>
  <c r="E5" i="44"/>
  <c r="F6" i="44"/>
  <c r="C5" i="44"/>
  <c r="Q6" i="47"/>
  <c r="B33" i="49"/>
  <c r="T17" i="47"/>
  <c r="N142" i="21"/>
  <c r="N141" i="21"/>
  <c r="M97" i="21"/>
  <c r="N97" i="21"/>
  <c r="N69" i="21"/>
  <c r="N71" i="21"/>
  <c r="N135" i="21"/>
  <c r="N134" i="21"/>
  <c r="J36" i="47"/>
  <c r="N111" i="21"/>
  <c r="N121" i="21"/>
  <c r="N119" i="21"/>
  <c r="N86" i="21"/>
  <c r="N77" i="21"/>
  <c r="J26" i="47"/>
  <c r="X40" i="47"/>
  <c r="N58" i="21"/>
  <c r="J24" i="47"/>
  <c r="N47" i="21"/>
  <c r="J32" i="47"/>
  <c r="X35" i="47"/>
  <c r="N40" i="21"/>
  <c r="N10" i="21"/>
  <c r="E83" i="40"/>
  <c r="E84" i="40"/>
  <c r="E85" i="40"/>
  <c r="D13" i="40"/>
  <c r="E13" i="40"/>
  <c r="E69" i="40"/>
  <c r="E60" i="40"/>
  <c r="E52" i="40"/>
  <c r="E54" i="40"/>
  <c r="E72" i="40"/>
  <c r="E41" i="40"/>
  <c r="E30" i="40"/>
  <c r="E24" i="40"/>
  <c r="E23" i="40"/>
  <c r="B17" i="49"/>
  <c r="T22" i="47"/>
  <c r="T28" i="47"/>
  <c r="T34" i="47"/>
  <c r="T46" i="47"/>
  <c r="L5" i="21"/>
  <c r="C5" i="47"/>
  <c r="D5" i="47"/>
  <c r="E5" i="47"/>
  <c r="F5" i="47"/>
  <c r="G5" i="47"/>
  <c r="T7" i="47"/>
  <c r="G3" i="47"/>
  <c r="U37" i="47"/>
  <c r="L119" i="21"/>
  <c r="M119" i="21"/>
  <c r="K119" i="21"/>
  <c r="M111" i="21"/>
  <c r="M121" i="21"/>
  <c r="L111" i="21"/>
  <c r="L121" i="21"/>
  <c r="H97" i="21"/>
  <c r="I97" i="21"/>
  <c r="J97" i="21"/>
  <c r="L97" i="21"/>
  <c r="L124" i="21"/>
  <c r="L47" i="21"/>
  <c r="I10" i="21"/>
  <c r="C7" i="44"/>
  <c r="J10" i="21"/>
  <c r="J17" i="21"/>
  <c r="K10" i="21"/>
  <c r="M10" i="21"/>
  <c r="T4" i="47"/>
  <c r="C14" i="47"/>
  <c r="D3" i="50"/>
  <c r="K3" i="50"/>
  <c r="L3" i="50"/>
  <c r="M3" i="50"/>
  <c r="F6" i="50"/>
  <c r="E3" i="50"/>
  <c r="L10" i="21"/>
  <c r="C36" i="44"/>
  <c r="D69" i="40"/>
  <c r="D60" i="40"/>
  <c r="D52" i="40"/>
  <c r="D54" i="40"/>
  <c r="D72" i="40"/>
  <c r="D41" i="40"/>
  <c r="D30" i="40"/>
  <c r="D43" i="40"/>
  <c r="C24" i="40"/>
  <c r="D24" i="40"/>
  <c r="D23" i="40"/>
  <c r="C23" i="40"/>
  <c r="C69" i="40"/>
  <c r="C60" i="40"/>
  <c r="C52" i="40"/>
  <c r="C54" i="40"/>
  <c r="C72" i="40"/>
  <c r="C41" i="40"/>
  <c r="C30" i="40"/>
  <c r="M134" i="21"/>
  <c r="I36" i="47"/>
  <c r="C34" i="47"/>
  <c r="D34" i="47"/>
  <c r="E34" i="47"/>
  <c r="F34" i="47"/>
  <c r="G34" i="47"/>
  <c r="C31" i="47"/>
  <c r="D31" i="47"/>
  <c r="E31" i="47"/>
  <c r="F31" i="47"/>
  <c r="T39" i="47"/>
  <c r="G31" i="47"/>
  <c r="U39" i="47"/>
  <c r="D30" i="47"/>
  <c r="E30" i="47"/>
  <c r="F30" i="47"/>
  <c r="G30" i="47"/>
  <c r="C29" i="47"/>
  <c r="D29" i="47"/>
  <c r="E29" i="47"/>
  <c r="F29" i="47"/>
  <c r="G29" i="47"/>
  <c r="C28" i="47"/>
  <c r="D28" i="47"/>
  <c r="E28" i="47"/>
  <c r="F28" i="47"/>
  <c r="G28" i="47"/>
  <c r="D27" i="47"/>
  <c r="E27" i="47"/>
  <c r="F27" i="47"/>
  <c r="G27" i="47"/>
  <c r="C26" i="47"/>
  <c r="C23" i="47"/>
  <c r="D23" i="47"/>
  <c r="E23" i="47"/>
  <c r="F23" i="47"/>
  <c r="G23" i="47"/>
  <c r="D20" i="47"/>
  <c r="E20" i="47"/>
  <c r="F20" i="47"/>
  <c r="G20" i="47"/>
  <c r="D19" i="47"/>
  <c r="E19" i="47"/>
  <c r="F19" i="47"/>
  <c r="T30" i="47"/>
  <c r="G19" i="47"/>
  <c r="U30" i="47"/>
  <c r="D18" i="47"/>
  <c r="E18" i="47"/>
  <c r="F18" i="47"/>
  <c r="G18" i="47"/>
  <c r="C17" i="47"/>
  <c r="D16" i="47"/>
  <c r="E16" i="47"/>
  <c r="F16" i="47"/>
  <c r="T54" i="47"/>
  <c r="G16" i="47"/>
  <c r="C15" i="47"/>
  <c r="C10" i="47"/>
  <c r="D10" i="47"/>
  <c r="C7" i="47"/>
  <c r="C6" i="47"/>
  <c r="C4" i="47"/>
  <c r="D3" i="47"/>
  <c r="E3" i="47"/>
  <c r="F3" i="47"/>
  <c r="T37" i="47"/>
  <c r="H134" i="21"/>
  <c r="D36" i="47"/>
  <c r="K134" i="21"/>
  <c r="G36" i="47"/>
  <c r="U56" i="47"/>
  <c r="L134" i="21"/>
  <c r="H36" i="47"/>
  <c r="K86" i="21"/>
  <c r="G25" i="47"/>
  <c r="U41" i="47"/>
  <c r="L86" i="21"/>
  <c r="C18" i="40"/>
  <c r="K121" i="21"/>
  <c r="I111" i="21"/>
  <c r="J111" i="21"/>
  <c r="J86" i="21"/>
  <c r="K58" i="21"/>
  <c r="G24" i="47"/>
  <c r="D138" i="49"/>
  <c r="C139" i="49"/>
  <c r="B85" i="49"/>
  <c r="B65" i="49"/>
  <c r="E59" i="49"/>
  <c r="F41" i="49"/>
  <c r="C26" i="49"/>
  <c r="C16" i="49"/>
  <c r="D16" i="49"/>
  <c r="B26" i="49"/>
  <c r="D12" i="47"/>
  <c r="E12" i="47"/>
  <c r="F12" i="47"/>
  <c r="G12" i="47"/>
  <c r="U55" i="47"/>
  <c r="H121" i="21"/>
  <c r="H125" i="21"/>
  <c r="I121" i="21"/>
  <c r="I125" i="21"/>
  <c r="J121" i="21"/>
  <c r="I86" i="21"/>
  <c r="E25" i="47"/>
  <c r="K77" i="21"/>
  <c r="G26" i="47"/>
  <c r="U40" i="47"/>
  <c r="M40" i="21"/>
  <c r="L40" i="21"/>
  <c r="L41" i="21"/>
  <c r="J47" i="21"/>
  <c r="F32" i="47"/>
  <c r="T35" i="47"/>
  <c r="K47" i="21"/>
  <c r="G32" i="47"/>
  <c r="U35" i="47"/>
  <c r="M47" i="21"/>
  <c r="I32" i="47"/>
  <c r="W35" i="47"/>
  <c r="J58" i="21"/>
  <c r="F24" i="47"/>
  <c r="L58" i="21"/>
  <c r="H24" i="47"/>
  <c r="M58" i="21"/>
  <c r="I24" i="47"/>
  <c r="W51" i="47"/>
  <c r="J69" i="21"/>
  <c r="J71" i="21"/>
  <c r="K69" i="21"/>
  <c r="K71" i="21"/>
  <c r="G17" i="47"/>
  <c r="U42" i="47"/>
  <c r="L69" i="21"/>
  <c r="L71" i="21"/>
  <c r="M69" i="21"/>
  <c r="M71" i="21"/>
  <c r="C23" i="24"/>
  <c r="H135" i="21"/>
  <c r="I135" i="21"/>
  <c r="J135" i="21"/>
  <c r="K135" i="21"/>
  <c r="L135" i="21"/>
  <c r="M135" i="21"/>
  <c r="H119" i="21"/>
  <c r="I119" i="21"/>
  <c r="J119" i="21"/>
  <c r="K111" i="21"/>
  <c r="R111" i="21"/>
  <c r="S111" i="21"/>
  <c r="T111" i="21"/>
  <c r="U111" i="21"/>
  <c r="V111" i="21"/>
  <c r="W111" i="21"/>
  <c r="Z87" i="21"/>
  <c r="AA87" i="21"/>
  <c r="AB87" i="21"/>
  <c r="AC87" i="21"/>
  <c r="R86" i="21"/>
  <c r="S86" i="21"/>
  <c r="T86" i="21"/>
  <c r="U86" i="21"/>
  <c r="V86" i="21"/>
  <c r="W86" i="21"/>
  <c r="J77" i="21"/>
  <c r="F26" i="47"/>
  <c r="T40" i="47"/>
  <c r="L77" i="21"/>
  <c r="R77" i="21"/>
  <c r="S77" i="21"/>
  <c r="T77" i="21"/>
  <c r="U77" i="21"/>
  <c r="V77" i="21"/>
  <c r="V87" i="21"/>
  <c r="W77" i="21"/>
  <c r="X77" i="21"/>
  <c r="X87" i="21"/>
  <c r="Y77" i="21"/>
  <c r="Y87" i="21"/>
  <c r="R69" i="21"/>
  <c r="S69" i="21"/>
  <c r="T69" i="21"/>
  <c r="U69" i="21"/>
  <c r="V69" i="21"/>
  <c r="W69" i="21"/>
  <c r="X69" i="21"/>
  <c r="Y69" i="21"/>
  <c r="S47" i="21"/>
  <c r="T47" i="21"/>
  <c r="U47" i="21"/>
  <c r="I134" i="21"/>
  <c r="E36" i="47"/>
  <c r="J134" i="21"/>
  <c r="F36" i="47"/>
  <c r="AB125" i="21"/>
  <c r="AC125" i="21"/>
  <c r="AB124" i="21"/>
  <c r="AC124" i="21"/>
  <c r="AA122" i="21"/>
  <c r="AB122" i="21"/>
  <c r="AA121" i="21"/>
  <c r="AA125" i="21"/>
  <c r="AA120" i="21"/>
  <c r="AB120" i="21"/>
  <c r="AC120" i="21"/>
  <c r="AA124" i="21"/>
  <c r="E7" i="47"/>
  <c r="J5" i="21"/>
  <c r="F7" i="47"/>
  <c r="K5" i="21"/>
  <c r="G7" i="47"/>
  <c r="M86" i="21"/>
  <c r="I25" i="47"/>
  <c r="W41" i="47"/>
  <c r="M77" i="21"/>
  <c r="M136" i="21"/>
  <c r="G10" i="47"/>
  <c r="K97" i="21"/>
  <c r="L122" i="21"/>
  <c r="H86" i="21"/>
  <c r="D25" i="47"/>
  <c r="H5" i="21"/>
  <c r="D7" i="47"/>
  <c r="H17" i="21"/>
  <c r="H19" i="21"/>
  <c r="H27" i="21"/>
  <c r="H25" i="21"/>
  <c r="H34" i="21"/>
  <c r="H111" i="21"/>
  <c r="H69" i="21"/>
  <c r="H129" i="21"/>
  <c r="H77" i="21"/>
  <c r="D26" i="47"/>
  <c r="I77" i="21"/>
  <c r="E26" i="47"/>
  <c r="H71" i="21"/>
  <c r="D4" i="47"/>
  <c r="I69" i="21"/>
  <c r="I71" i="21"/>
  <c r="E17" i="47"/>
  <c r="I47" i="21"/>
  <c r="E32" i="47"/>
  <c r="H58" i="21"/>
  <c r="D24" i="47"/>
  <c r="H47" i="21"/>
  <c r="D32" i="47"/>
  <c r="H40" i="21"/>
  <c r="H90" i="21"/>
  <c r="H128" i="21"/>
  <c r="I40" i="21"/>
  <c r="J40" i="21"/>
  <c r="K40" i="21"/>
  <c r="H41" i="21"/>
  <c r="I41" i="21"/>
  <c r="J41" i="21"/>
  <c r="K41" i="21"/>
  <c r="I58" i="21"/>
  <c r="E24" i="47"/>
  <c r="U51" i="47"/>
  <c r="T51" i="47"/>
  <c r="X51" i="47"/>
  <c r="W53" i="47"/>
  <c r="U53" i="47"/>
  <c r="X54" i="47"/>
  <c r="Y54" i="47"/>
  <c r="U52" i="47"/>
  <c r="U54" i="47"/>
  <c r="U48" i="47"/>
  <c r="T24" i="47"/>
  <c r="W36" i="47"/>
  <c r="X36" i="47"/>
  <c r="G6" i="47"/>
  <c r="U32" i="47"/>
  <c r="K125" i="21"/>
  <c r="F22" i="47"/>
  <c r="T29" i="47"/>
  <c r="J124" i="21"/>
  <c r="I22" i="47"/>
  <c r="W57" i="47"/>
  <c r="M124" i="21"/>
  <c r="I6" i="47"/>
  <c r="W32" i="47"/>
  <c r="M125" i="21"/>
  <c r="M126" i="21"/>
  <c r="I33" i="47"/>
  <c r="W31" i="47"/>
  <c r="N124" i="21"/>
  <c r="J22" i="47"/>
  <c r="X57" i="47"/>
  <c r="I17" i="21"/>
  <c r="I19" i="21"/>
  <c r="E15" i="47"/>
  <c r="T49" i="47"/>
  <c r="C70" i="40"/>
  <c r="D70" i="40"/>
  <c r="E22" i="47"/>
  <c r="I124" i="21"/>
  <c r="I126" i="21"/>
  <c r="E33" i="47"/>
  <c r="E74" i="40"/>
  <c r="J25" i="47"/>
  <c r="X41" i="47"/>
  <c r="J38" i="47"/>
  <c r="J17" i="47"/>
  <c r="X55" i="47"/>
  <c r="J4" i="47"/>
  <c r="K122" i="21"/>
  <c r="K124" i="21"/>
  <c r="K126" i="21"/>
  <c r="G33" i="47"/>
  <c r="U31" i="47"/>
  <c r="D22" i="47"/>
  <c r="H124" i="21"/>
  <c r="H7" i="44"/>
  <c r="J10" i="47"/>
  <c r="X52" i="47"/>
  <c r="R87" i="21"/>
  <c r="F6" i="47"/>
  <c r="T32" i="47"/>
  <c r="J125" i="21"/>
  <c r="J126" i="21"/>
  <c r="F33" i="47"/>
  <c r="T31" i="47"/>
  <c r="E10" i="47"/>
  <c r="H6" i="47"/>
  <c r="V32" i="47"/>
  <c r="L125" i="21"/>
  <c r="J6" i="47"/>
  <c r="X32" i="47"/>
  <c r="N125" i="21"/>
  <c r="C8" i="44"/>
  <c r="U36" i="47"/>
  <c r="U25" i="47"/>
  <c r="U23" i="47"/>
  <c r="T38" i="47"/>
  <c r="U24" i="47"/>
  <c r="V36" i="47"/>
  <c r="T23" i="47"/>
  <c r="U38" i="47"/>
  <c r="F7" i="44"/>
  <c r="H10" i="47"/>
  <c r="V52" i="47"/>
  <c r="L4" i="21"/>
  <c r="H28" i="47"/>
  <c r="H7" i="47"/>
  <c r="M87" i="21"/>
  <c r="M88" i="21"/>
  <c r="I26" i="47"/>
  <c r="W40" i="47"/>
  <c r="AA126" i="21"/>
  <c r="H4" i="47"/>
  <c r="H17" i="47"/>
  <c r="V55" i="47"/>
  <c r="H38" i="47"/>
  <c r="H25" i="47"/>
  <c r="V41" i="47"/>
  <c r="I10" i="47"/>
  <c r="W52" i="47"/>
  <c r="G7" i="44"/>
  <c r="H32" i="47"/>
  <c r="V35" i="47"/>
  <c r="N138" i="21"/>
  <c r="H9" i="44"/>
  <c r="H10" i="44"/>
  <c r="I17" i="47"/>
  <c r="W55" i="47"/>
  <c r="I38" i="47"/>
  <c r="I4" i="47"/>
  <c r="J122" i="21"/>
  <c r="H26" i="47"/>
  <c r="V40" i="47"/>
  <c r="T87" i="21"/>
  <c r="T5" i="47"/>
  <c r="T6" i="47"/>
  <c r="H22" i="47"/>
  <c r="V57" i="47"/>
  <c r="Q14" i="47"/>
  <c r="C58" i="49"/>
  <c r="D58" i="49"/>
  <c r="E58" i="49"/>
  <c r="C71" i="40"/>
  <c r="I122" i="21"/>
  <c r="H126" i="21"/>
  <c r="D33" i="47"/>
  <c r="L17" i="21"/>
  <c r="L19" i="21"/>
  <c r="H15" i="47"/>
  <c r="W49" i="47"/>
  <c r="L87" i="21"/>
  <c r="I120" i="21"/>
  <c r="L60" i="21"/>
  <c r="F17" i="47"/>
  <c r="T42" i="47"/>
  <c r="J138" i="21"/>
  <c r="D9" i="44"/>
  <c r="D10" i="44"/>
  <c r="H120" i="21"/>
  <c r="Q38" i="47"/>
  <c r="C81" i="49"/>
  <c r="D81" i="49"/>
  <c r="E81" i="49"/>
  <c r="G22" i="47"/>
  <c r="U29" i="47"/>
  <c r="D14" i="47"/>
  <c r="W87" i="21"/>
  <c r="M138" i="21"/>
  <c r="G9" i="44"/>
  <c r="G10" i="44"/>
  <c r="Q30" i="47"/>
  <c r="C75" i="49"/>
  <c r="D75" i="49"/>
  <c r="E75" i="49"/>
  <c r="L120" i="21"/>
  <c r="N120" i="21"/>
  <c r="I60" i="21"/>
  <c r="D17" i="47"/>
  <c r="K87" i="21"/>
  <c r="K88" i="21"/>
  <c r="D6" i="47"/>
  <c r="N136" i="21"/>
  <c r="N143" i="21"/>
  <c r="N144" i="21"/>
  <c r="J39" i="21"/>
  <c r="F37" i="47"/>
  <c r="J19" i="21"/>
  <c r="J27" i="21"/>
  <c r="J25" i="21"/>
  <c r="D139" i="49"/>
  <c r="D74" i="49"/>
  <c r="E74" i="49"/>
  <c r="B5" i="44"/>
  <c r="Q31" i="47"/>
  <c r="C76" i="49"/>
  <c r="D76" i="49"/>
  <c r="E76" i="49"/>
  <c r="E18" i="40"/>
  <c r="E21" i="40"/>
  <c r="H138" i="21"/>
  <c r="J120" i="21"/>
  <c r="K60" i="21"/>
  <c r="E6" i="47"/>
  <c r="D18" i="40"/>
  <c r="D7" i="44"/>
  <c r="H39" i="21"/>
  <c r="D37" i="47"/>
  <c r="D38" i="47"/>
  <c r="D71" i="40"/>
  <c r="M122" i="21"/>
  <c r="I87" i="21"/>
  <c r="I88" i="21"/>
  <c r="H122" i="21"/>
  <c r="F10" i="47"/>
  <c r="T56" i="47"/>
  <c r="L88" i="21"/>
  <c r="H136" i="21"/>
  <c r="U87" i="21"/>
  <c r="C43" i="40"/>
  <c r="K120" i="21"/>
  <c r="E70" i="40"/>
  <c r="E71" i="40"/>
  <c r="E43" i="40"/>
  <c r="E4" i="47"/>
  <c r="I138" i="21"/>
  <c r="C9" i="44"/>
  <c r="B9" i="44"/>
  <c r="I136" i="21"/>
  <c r="H87" i="21"/>
  <c r="H88" i="21"/>
  <c r="E38" i="47"/>
  <c r="J87" i="21"/>
  <c r="J88" i="21"/>
  <c r="F25" i="47"/>
  <c r="T41" i="47"/>
  <c r="H60" i="21"/>
  <c r="G38" i="47"/>
  <c r="K138" i="21"/>
  <c r="E9" i="44"/>
  <c r="E10" i="44"/>
  <c r="G4" i="47"/>
  <c r="K136" i="21"/>
  <c r="Q33" i="47"/>
  <c r="C78" i="49"/>
  <c r="D78" i="49"/>
  <c r="E78" i="49"/>
  <c r="C21" i="40"/>
  <c r="C74" i="40"/>
  <c r="C20" i="40"/>
  <c r="M17" i="21"/>
  <c r="T36" i="47"/>
  <c r="H21" i="21"/>
  <c r="H32" i="21"/>
  <c r="H30" i="21"/>
  <c r="H36" i="21"/>
  <c r="D15" i="47"/>
  <c r="D6" i="44"/>
  <c r="Q39" i="47"/>
  <c r="C82" i="49"/>
  <c r="D82" i="49"/>
  <c r="E82" i="49"/>
  <c r="L138" i="21"/>
  <c r="F9" i="44"/>
  <c r="F10" i="44"/>
  <c r="L136" i="21"/>
  <c r="M60" i="21"/>
  <c r="L126" i="21"/>
  <c r="F38" i="47"/>
  <c r="F4" i="47"/>
  <c r="J136" i="21"/>
  <c r="J60" i="21"/>
  <c r="N17" i="21"/>
  <c r="N126" i="21"/>
  <c r="S87" i="21"/>
  <c r="M120" i="21"/>
  <c r="N87" i="21"/>
  <c r="N88" i="21"/>
  <c r="E7" i="44"/>
  <c r="K17" i="21"/>
  <c r="N122" i="21"/>
  <c r="T18" i="47"/>
  <c r="Q41" i="47"/>
  <c r="N60" i="21"/>
  <c r="Q16" i="47"/>
  <c r="C60" i="49"/>
  <c r="D60" i="49"/>
  <c r="E60" i="49"/>
  <c r="E6" i="44"/>
  <c r="I39" i="21"/>
  <c r="E37" i="47"/>
  <c r="I27" i="21"/>
  <c r="I25" i="21"/>
  <c r="I21" i="21"/>
  <c r="I23" i="21"/>
  <c r="I32" i="21"/>
  <c r="I30" i="21"/>
  <c r="I36" i="21"/>
  <c r="U57" i="47"/>
  <c r="V56" i="47"/>
  <c r="T55" i="47"/>
  <c r="X53" i="47"/>
  <c r="X56" i="47"/>
  <c r="W56" i="47"/>
  <c r="V51" i="47"/>
  <c r="T57" i="47"/>
  <c r="T53" i="47"/>
  <c r="V53" i="47"/>
  <c r="V54" i="47"/>
  <c r="T50" i="47"/>
  <c r="T52" i="47"/>
  <c r="W54" i="47"/>
  <c r="V48" i="47"/>
  <c r="X48" i="47"/>
  <c r="T48" i="47"/>
  <c r="W48" i="47"/>
  <c r="W42" i="47"/>
  <c r="W29" i="47"/>
  <c r="X42" i="47"/>
  <c r="W25" i="47"/>
  <c r="X25" i="47"/>
  <c r="X29" i="47"/>
  <c r="J33" i="47"/>
  <c r="X31" i="47"/>
  <c r="H8" i="44"/>
  <c r="H13" i="44"/>
  <c r="D11" i="44"/>
  <c r="V26" i="47"/>
  <c r="V29" i="47"/>
  <c r="V24" i="47"/>
  <c r="V42" i="47"/>
  <c r="Q19" i="47"/>
  <c r="C62" i="49"/>
  <c r="D62" i="49"/>
  <c r="E62" i="49"/>
  <c r="V25" i="47"/>
  <c r="H33" i="47"/>
  <c r="V31" i="47"/>
  <c r="L27" i="21"/>
  <c r="L25" i="21"/>
  <c r="H14" i="47"/>
  <c r="H40" i="47"/>
  <c r="L39" i="21"/>
  <c r="F11" i="44"/>
  <c r="G13" i="44"/>
  <c r="G8" i="44"/>
  <c r="F8" i="44"/>
  <c r="F13" i="44"/>
  <c r="T25" i="47"/>
  <c r="L21" i="21"/>
  <c r="L23" i="21"/>
  <c r="L32" i="21"/>
  <c r="L30" i="21"/>
  <c r="L36" i="21"/>
  <c r="D13" i="44"/>
  <c r="E20" i="40"/>
  <c r="C10" i="44"/>
  <c r="B10" i="44"/>
  <c r="J34" i="21"/>
  <c r="F14" i="47"/>
  <c r="F40" i="47"/>
  <c r="F15" i="47"/>
  <c r="J21" i="21"/>
  <c r="J23" i="21"/>
  <c r="J32" i="21"/>
  <c r="J30" i="21"/>
  <c r="J36" i="21"/>
  <c r="D8" i="44"/>
  <c r="D20" i="40"/>
  <c r="D21" i="40"/>
  <c r="D74" i="40"/>
  <c r="E8" i="44"/>
  <c r="E13" i="44"/>
  <c r="N16" i="47"/>
  <c r="B23" i="44"/>
  <c r="N10" i="47"/>
  <c r="N39" i="21"/>
  <c r="J37" i="47"/>
  <c r="X50" i="47"/>
  <c r="N19" i="21"/>
  <c r="J15" i="47"/>
  <c r="E14" i="47"/>
  <c r="E40" i="47"/>
  <c r="I34" i="21"/>
  <c r="Q23" i="47"/>
  <c r="Q34" i="47"/>
  <c r="C79" i="49"/>
  <c r="D79" i="49"/>
  <c r="E79" i="49"/>
  <c r="B37" i="49"/>
  <c r="D37" i="49"/>
  <c r="E37" i="49"/>
  <c r="G37" i="49"/>
  <c r="M19" i="21"/>
  <c r="I15" i="47"/>
  <c r="M39" i="21"/>
  <c r="I37" i="47"/>
  <c r="W50" i="47"/>
  <c r="Q35" i="47"/>
  <c r="C80" i="49"/>
  <c r="Q36" i="47"/>
  <c r="C83" i="49"/>
  <c r="D83" i="49"/>
  <c r="E83" i="49"/>
  <c r="K39" i="21"/>
  <c r="G37" i="47"/>
  <c r="U50" i="47"/>
  <c r="K19" i="21"/>
  <c r="Q32" i="47"/>
  <c r="C77" i="49"/>
  <c r="D77" i="49"/>
  <c r="E77" i="49"/>
  <c r="Q21" i="47"/>
  <c r="C64" i="49"/>
  <c r="D64" i="49"/>
  <c r="E64" i="49"/>
  <c r="C84" i="49"/>
  <c r="D84" i="49"/>
  <c r="E84" i="49"/>
  <c r="C11" i="44"/>
  <c r="X49" i="47"/>
  <c r="W26" i="47"/>
  <c r="Y49" i="47"/>
  <c r="X26" i="47"/>
  <c r="G11" i="44"/>
  <c r="H11" i="44"/>
  <c r="L34" i="21"/>
  <c r="E11" i="44"/>
  <c r="T26" i="47"/>
  <c r="U49" i="47"/>
  <c r="C72" i="49"/>
  <c r="D72" i="49"/>
  <c r="E72" i="49"/>
  <c r="H37" i="47"/>
  <c r="V50" i="47"/>
  <c r="Q40" i="47"/>
  <c r="M27" i="21"/>
  <c r="M25" i="21"/>
  <c r="I14" i="47"/>
  <c r="I40" i="47"/>
  <c r="M21" i="21"/>
  <c r="M23" i="21"/>
  <c r="M32" i="21"/>
  <c r="M30" i="21"/>
  <c r="B36" i="49"/>
  <c r="D36" i="49"/>
  <c r="E36" i="49"/>
  <c r="G36" i="49"/>
  <c r="C23" i="44"/>
  <c r="Q26" i="47"/>
  <c r="Q17" i="47"/>
  <c r="C61" i="49"/>
  <c r="D61" i="49"/>
  <c r="E61" i="49"/>
  <c r="K27" i="21"/>
  <c r="K25" i="21"/>
  <c r="G14" i="47"/>
  <c r="G40" i="47"/>
  <c r="K21" i="21"/>
  <c r="K23" i="21"/>
  <c r="K32" i="21"/>
  <c r="K30" i="21"/>
  <c r="G15" i="47"/>
  <c r="N21" i="21"/>
  <c r="N23" i="21"/>
  <c r="N32" i="21"/>
  <c r="N30" i="21"/>
  <c r="N27" i="21"/>
  <c r="N25" i="21"/>
  <c r="J14" i="47"/>
  <c r="J40" i="47"/>
  <c r="U26" i="47"/>
  <c r="V49" i="47"/>
  <c r="M36" i="21"/>
  <c r="M34" i="21"/>
  <c r="K34" i="21"/>
  <c r="K36" i="21"/>
  <c r="N14" i="47"/>
  <c r="Q8" i="47"/>
  <c r="N34" i="21"/>
  <c r="N36" i="21"/>
  <c r="D23" i="44"/>
  <c r="C22" i="44"/>
  <c r="Q20" i="47"/>
  <c r="T12" i="47"/>
  <c r="C71" i="49"/>
  <c r="D71" i="49"/>
  <c r="E71" i="49"/>
  <c r="B22" i="44"/>
  <c r="Q12" i="47"/>
  <c r="C56" i="49"/>
  <c r="D56" i="49"/>
  <c r="E56" i="49"/>
  <c r="Q28" i="47"/>
  <c r="C73" i="49"/>
  <c r="N15" i="47"/>
  <c r="Q7" i="47"/>
  <c r="Q25" i="47"/>
  <c r="C70" i="49"/>
  <c r="D70" i="49"/>
  <c r="E70" i="49"/>
  <c r="D73" i="49"/>
  <c r="E73" i="49"/>
  <c r="D80" i="49"/>
  <c r="E80" i="49"/>
  <c r="T10" i="47"/>
  <c r="B38" i="49"/>
  <c r="D38" i="49"/>
  <c r="E38" i="49"/>
  <c r="G38" i="49"/>
  <c r="D22" i="44"/>
  <c r="T9" i="47"/>
  <c r="B39" i="49"/>
  <c r="D39" i="49"/>
  <c r="E39" i="49"/>
  <c r="G39" i="49"/>
  <c r="Q13" i="47"/>
  <c r="C57" i="49"/>
  <c r="D57" i="49"/>
  <c r="E57" i="49"/>
  <c r="E65" i="49"/>
  <c r="C15" i="49"/>
  <c r="D15" i="49"/>
  <c r="T11" i="47"/>
  <c r="B24" i="44"/>
  <c r="E22" i="44"/>
  <c r="E85" i="49"/>
  <c r="C14" i="49"/>
  <c r="D14" i="49"/>
  <c r="C24" i="44"/>
  <c r="F22" i="44"/>
  <c r="D24" i="44"/>
  <c r="E23" i="44"/>
  <c r="G22" i="44"/>
  <c r="E24" i="44"/>
  <c r="F23" i="44"/>
  <c r="H22" i="44"/>
  <c r="F24" i="44"/>
  <c r="G23" i="44"/>
  <c r="I22" i="44"/>
  <c r="G24" i="44"/>
  <c r="H23" i="44"/>
  <c r="J22" i="44"/>
  <c r="H24" i="44"/>
  <c r="I23" i="44"/>
  <c r="K22" i="44"/>
  <c r="J23" i="44"/>
  <c r="I24" i="44"/>
  <c r="J24" i="44"/>
  <c r="K23" i="44"/>
  <c r="T15" i="47"/>
  <c r="C40" i="44"/>
  <c r="L23" i="44"/>
  <c r="K24" i="44"/>
  <c r="I9" i="47"/>
  <c r="G9" i="47"/>
  <c r="F9" i="47"/>
  <c r="E9" i="47"/>
  <c r="L24" i="44"/>
  <c r="L22" i="44"/>
  <c r="N9" i="47"/>
  <c r="Q5" i="47"/>
  <c r="C33" i="49"/>
  <c r="D33" i="49"/>
  <c r="E33" i="49"/>
  <c r="G33" i="49"/>
  <c r="G41" i="49"/>
  <c r="C13" i="49"/>
  <c r="D13" i="49"/>
  <c r="D17" i="49"/>
  <c r="D7" i="49"/>
  <c r="H9" i="47"/>
  <c r="J9" i="47"/>
  <c r="C17" i="49"/>
</calcChain>
</file>

<file path=xl/sharedStrings.xml><?xml version="1.0" encoding="utf-8"?>
<sst xmlns="http://schemas.openxmlformats.org/spreadsheetml/2006/main" count="704" uniqueCount="476">
  <si>
    <t>ROE</t>
  </si>
  <si>
    <t>P/NAV</t>
  </si>
  <si>
    <t xml:space="preserve">Revenue </t>
  </si>
  <si>
    <t>INCOME STATEMENT</t>
  </si>
  <si>
    <t>Turnover</t>
  </si>
  <si>
    <t>Tax</t>
  </si>
  <si>
    <t>BALANCE SHEET</t>
  </si>
  <si>
    <t>Total Assets</t>
  </si>
  <si>
    <t>SHARE/UNIT DATA</t>
  </si>
  <si>
    <t>MrktCap(R000s)</t>
  </si>
  <si>
    <t>ROA</t>
  </si>
  <si>
    <t>ROIC</t>
  </si>
  <si>
    <t>EV/EBIT</t>
  </si>
  <si>
    <t>Total Non current Assets</t>
  </si>
  <si>
    <t>Total Current Assets</t>
  </si>
  <si>
    <t>Cash and equivalents</t>
  </si>
  <si>
    <t xml:space="preserve">Share Capital </t>
  </si>
  <si>
    <t>Deferred tax liability</t>
  </si>
  <si>
    <t>Non current Liabilities</t>
  </si>
  <si>
    <t>Equity attributable to equity holders of the parent</t>
  </si>
  <si>
    <t>Non-controlling interest</t>
  </si>
  <si>
    <t xml:space="preserve">Total Equity </t>
  </si>
  <si>
    <t>Total Current liabilities</t>
  </si>
  <si>
    <t>Total Liabilities</t>
  </si>
  <si>
    <t>CASH FLOW</t>
  </si>
  <si>
    <t xml:space="preserve">Net cashflow from operating activities </t>
  </si>
  <si>
    <t>Tax rate</t>
  </si>
  <si>
    <t>Sales/share</t>
  </si>
  <si>
    <t>NAV/share</t>
  </si>
  <si>
    <t>Casflow from Investing actitivities</t>
  </si>
  <si>
    <t>Inventories</t>
  </si>
  <si>
    <t>Cashflow from financing activities</t>
  </si>
  <si>
    <t>Share price (cents)</t>
  </si>
  <si>
    <t>Capital expenditure</t>
  </si>
  <si>
    <t>Cash generated per share</t>
  </si>
  <si>
    <t>Debt ratio</t>
  </si>
  <si>
    <t>Basic Earnings per share</t>
  </si>
  <si>
    <t>PPE</t>
  </si>
  <si>
    <t>Trade and other receivables</t>
  </si>
  <si>
    <t>Trade and other payables</t>
  </si>
  <si>
    <t xml:space="preserve">Current Liabilities </t>
  </si>
  <si>
    <t>Cash generated from operations</t>
  </si>
  <si>
    <t xml:space="preserve">rm </t>
  </si>
  <si>
    <t>market return</t>
  </si>
  <si>
    <t>Re</t>
  </si>
  <si>
    <t>required rate of return on equity/ cost of equity</t>
  </si>
  <si>
    <t>rf</t>
  </si>
  <si>
    <t>risk free rate= usually refers to return you earn from investing in risk free instruments such as treasury bills</t>
  </si>
  <si>
    <t>rm-rf</t>
  </si>
  <si>
    <t>market risk premium</t>
  </si>
  <si>
    <t>ß</t>
  </si>
  <si>
    <t>beta coefficient =unsystemic risk. Refers to the extent to which a stock reacts to the market as a whole</t>
  </si>
  <si>
    <t>WACC=(E/V)*Re+D/V*Rd(1-Tc)</t>
  </si>
  <si>
    <t xml:space="preserve">cost of equity </t>
  </si>
  <si>
    <t>Rd</t>
  </si>
  <si>
    <t xml:space="preserve">cost of debt </t>
  </si>
  <si>
    <t>E</t>
  </si>
  <si>
    <t xml:space="preserve">market value of the firm's equity </t>
  </si>
  <si>
    <t>D</t>
  </si>
  <si>
    <t>market value of the firm's debt</t>
  </si>
  <si>
    <t>V</t>
  </si>
  <si>
    <t>E+D</t>
  </si>
  <si>
    <t>Tc</t>
  </si>
  <si>
    <t>Corporate tax</t>
  </si>
  <si>
    <t>E/V</t>
  </si>
  <si>
    <t>D/V</t>
  </si>
  <si>
    <t>WACC</t>
  </si>
  <si>
    <t>Revenue</t>
  </si>
  <si>
    <t>EBIT</t>
  </si>
  <si>
    <t>Terminal value</t>
  </si>
  <si>
    <t>Non controlling interests</t>
  </si>
  <si>
    <t xml:space="preserve">Current Assets </t>
  </si>
  <si>
    <t>Rj = a + b Rm</t>
  </si>
  <si>
    <t>The standard procedure for estimating betas is to regress stock returns (Rj) against market returns (Rm) -</t>
  </si>
  <si>
    <t>where a is the intercept and b is the slope of the regression.</t>
  </si>
  <si>
    <t xml:space="preserve">or </t>
  </si>
  <si>
    <t>Gross Profit</t>
  </si>
  <si>
    <t xml:space="preserve">Purchase of PPE to expand operations </t>
  </si>
  <si>
    <t>Proceeds on disposal of PPE</t>
  </si>
  <si>
    <t>Equity</t>
  </si>
  <si>
    <t>Prevailing share price</t>
  </si>
  <si>
    <t xml:space="preserve">Gross Profit </t>
  </si>
  <si>
    <t xml:space="preserve">Capex </t>
  </si>
  <si>
    <t>Free cashflow</t>
  </si>
  <si>
    <t>Non Current Assets</t>
  </si>
  <si>
    <t>Intangible Assets</t>
  </si>
  <si>
    <t xml:space="preserve">Short-term debt </t>
  </si>
  <si>
    <t xml:space="preserve">Long-term debt </t>
  </si>
  <si>
    <t xml:space="preserve">Equity </t>
  </si>
  <si>
    <t xml:space="preserve">Diluted earnings per share </t>
  </si>
  <si>
    <r>
      <t>Re= rf+(rm-rf)*</t>
    </r>
    <r>
      <rPr>
        <sz val="9"/>
        <rFont val="MS Sans Serif"/>
        <family val="2"/>
      </rPr>
      <t>ß</t>
    </r>
  </si>
  <si>
    <t>Metric</t>
  </si>
  <si>
    <t>EPS</t>
  </si>
  <si>
    <t>Shares Outstanding</t>
  </si>
  <si>
    <t>Headline earnings per share</t>
  </si>
  <si>
    <t>Interest bearing borrowings</t>
  </si>
  <si>
    <t>Share Premium</t>
  </si>
  <si>
    <t>Provisions</t>
  </si>
  <si>
    <t>Assets in disposal group as held for sale</t>
  </si>
  <si>
    <t>TOTAL LIABILITIES and EQUITY</t>
  </si>
  <si>
    <t>Gross profit</t>
  </si>
  <si>
    <t>Income Before Tax (EBT)</t>
  </si>
  <si>
    <t>Income attributable to shareholders</t>
  </si>
  <si>
    <t xml:space="preserve">Income tax paid </t>
  </si>
  <si>
    <t xml:space="preserve">Dividends paid to the owners of the parent </t>
  </si>
  <si>
    <t xml:space="preserve">Net increase in cash and cash equivalents </t>
  </si>
  <si>
    <t>Free Cash Flow</t>
  </si>
  <si>
    <t>Cash from Operations</t>
  </si>
  <si>
    <t>Cap Ex</t>
  </si>
  <si>
    <t>Free Cash Flow to Equity (FCFE)</t>
  </si>
  <si>
    <t>FREE CASH FLOW</t>
  </si>
  <si>
    <t>Issued Shares</t>
  </si>
  <si>
    <t xml:space="preserve">Diluted Shares </t>
  </si>
  <si>
    <t xml:space="preserve">Treasury Shares </t>
  </si>
  <si>
    <t>Equity and Liabilities</t>
  </si>
  <si>
    <t xml:space="preserve">Liabilities directly associated with assets in disposal group </t>
  </si>
  <si>
    <t xml:space="preserve">Issuance of equity </t>
  </si>
  <si>
    <t xml:space="preserve">Growth </t>
  </si>
  <si>
    <t>Current Ratio</t>
  </si>
  <si>
    <t>Net Margin</t>
  </si>
  <si>
    <t>Fiscal Year</t>
  </si>
  <si>
    <t>Capex</t>
  </si>
  <si>
    <t>Tax Rate</t>
  </si>
  <si>
    <t>Calculation</t>
  </si>
  <si>
    <t>Excess Cash</t>
  </si>
  <si>
    <t>Interest Bearing Debt</t>
  </si>
  <si>
    <t>Present Value</t>
  </si>
  <si>
    <t>Margin of Safety</t>
  </si>
  <si>
    <t>FCF</t>
  </si>
  <si>
    <t>Sales</t>
  </si>
  <si>
    <t>Minority interest</t>
  </si>
  <si>
    <t>DCF</t>
  </si>
  <si>
    <t>CAPITAL</t>
  </si>
  <si>
    <t xml:space="preserve">Invested capital </t>
  </si>
  <si>
    <t>Price/NAV</t>
  </si>
  <si>
    <t xml:space="preserve">Dividends     </t>
  </si>
  <si>
    <t>Dec</t>
  </si>
  <si>
    <t>Profit for the year</t>
  </si>
  <si>
    <t>Comprehensive income attributable to owners of parent</t>
  </si>
  <si>
    <t xml:space="preserve">Profit from discontinued operations </t>
  </si>
  <si>
    <t>Profit from continuing operations</t>
  </si>
  <si>
    <t>Other comprehensive income</t>
  </si>
  <si>
    <t xml:space="preserve">Investment in Property </t>
  </si>
  <si>
    <t>Tax Assets</t>
  </si>
  <si>
    <t>Finance cost</t>
  </si>
  <si>
    <t>Basic income attributable to owners of parent</t>
  </si>
  <si>
    <t xml:space="preserve">Repayment of borrowings </t>
  </si>
  <si>
    <t>Loans</t>
  </si>
  <si>
    <t xml:space="preserve">Cost of sales </t>
  </si>
  <si>
    <t>http://www.aranca.com/about-aranca</t>
  </si>
  <si>
    <t>Disposal of available for sale financial assets</t>
  </si>
  <si>
    <t>Net cash inflows from disposed subsidiaries</t>
  </si>
  <si>
    <t>Long term payable</t>
  </si>
  <si>
    <t xml:space="preserve">Disposal of investment property </t>
  </si>
  <si>
    <t>Other expenses</t>
  </si>
  <si>
    <t xml:space="preserve">Finance costs </t>
  </si>
  <si>
    <t>Foreign currency translation reserve</t>
  </si>
  <si>
    <t xml:space="preserve">decrease in borrowings </t>
  </si>
  <si>
    <t>Reclassfication of foreign currency translation reserve</t>
  </si>
  <si>
    <t>2019F</t>
  </si>
  <si>
    <t xml:space="preserve">OTHER COMPANIES </t>
  </si>
  <si>
    <t>FY2012</t>
  </si>
  <si>
    <t>FY2013</t>
  </si>
  <si>
    <t>FY2014</t>
  </si>
  <si>
    <t>FY2015</t>
  </si>
  <si>
    <t>FY2016</t>
  </si>
  <si>
    <t>FY2017</t>
  </si>
  <si>
    <t>RATINGS BACKGROUND CALCULATIONS</t>
  </si>
  <si>
    <t>Share PRICE PROFILE METRICS</t>
  </si>
  <si>
    <t>intangible assets</t>
  </si>
  <si>
    <t>Adjusted book value</t>
  </si>
  <si>
    <t>EBIT Valuation</t>
  </si>
  <si>
    <t>Price</t>
  </si>
  <si>
    <t>Interest expense</t>
  </si>
  <si>
    <t>Change from previous day</t>
  </si>
  <si>
    <t>Percentage change (%)</t>
  </si>
  <si>
    <t>Price/Earnings Ratio (P/E)</t>
  </si>
  <si>
    <t xml:space="preserve">Prev Close </t>
  </si>
  <si>
    <t>P/E (Forward)</t>
  </si>
  <si>
    <t>52 Week Range</t>
  </si>
  <si>
    <t xml:space="preserve">PE Ratio </t>
  </si>
  <si>
    <t>Earnings before interest and tax (EBIT)</t>
  </si>
  <si>
    <t>Forward PE:</t>
  </si>
  <si>
    <t>P/OP cashflow</t>
  </si>
  <si>
    <t>Share Price (cents)</t>
  </si>
  <si>
    <t>Net profit growth</t>
  </si>
  <si>
    <t>Share price (previous day closing price)</t>
  </si>
  <si>
    <t>Net profit growth (F)</t>
  </si>
  <si>
    <t>Earnings attributable  for shareholders</t>
  </si>
  <si>
    <t>Cash generated from operations growth</t>
  </si>
  <si>
    <t>Net profit</t>
  </si>
  <si>
    <t>Cash generated from operations growth (F)</t>
  </si>
  <si>
    <t>Market Cap</t>
  </si>
  <si>
    <t xml:space="preserve">Revenue growth </t>
  </si>
  <si>
    <t>NAV</t>
  </si>
  <si>
    <t>Revenue growth (F)</t>
  </si>
  <si>
    <t xml:space="preserve">EPS </t>
  </si>
  <si>
    <t>NB: all per share metrics are in cents</t>
  </si>
  <si>
    <t>Cash and bank balances</t>
  </si>
  <si>
    <t>EBIT growth</t>
  </si>
  <si>
    <t>EBIT growth (F)</t>
  </si>
  <si>
    <t>FINANCIALS SUMMARY</t>
  </si>
  <si>
    <t>Preferred shares</t>
  </si>
  <si>
    <t>FCF growth</t>
  </si>
  <si>
    <t>Net Operating cashflow</t>
  </si>
  <si>
    <t xml:space="preserve">Net cash inflow from operations per share </t>
  </si>
  <si>
    <t>Current assets</t>
  </si>
  <si>
    <t>Market Capitalisation</t>
  </si>
  <si>
    <t>Current liabilities</t>
  </si>
  <si>
    <t>Net Profit</t>
  </si>
  <si>
    <t>Non current liabilities</t>
  </si>
  <si>
    <t>Trade Receivables</t>
  </si>
  <si>
    <t>CASHFLOW STATEMENT</t>
  </si>
  <si>
    <t>Cost of Sales</t>
  </si>
  <si>
    <t>Net margin</t>
  </si>
  <si>
    <t>Net cashflow from operations</t>
  </si>
  <si>
    <t>Total Inventory</t>
  </si>
  <si>
    <t xml:space="preserve">Management </t>
  </si>
  <si>
    <t>Cash and cash equivalents</t>
  </si>
  <si>
    <t>Short term debt</t>
  </si>
  <si>
    <t>Receivables turnover % change</t>
  </si>
  <si>
    <t>Long term debt</t>
  </si>
  <si>
    <t>Inventory turnover % change</t>
  </si>
  <si>
    <t>Non current assets</t>
  </si>
  <si>
    <t>Total Asset Turnover % change</t>
  </si>
  <si>
    <t xml:space="preserve">BALANCE SHEET </t>
  </si>
  <si>
    <t>Cash balances</t>
  </si>
  <si>
    <t>Interest Cover ratio</t>
  </si>
  <si>
    <t>Dividend</t>
  </si>
  <si>
    <t>ST debt % of current assets</t>
  </si>
  <si>
    <t>Enterprise value (EV)</t>
  </si>
  <si>
    <t>Current ratio</t>
  </si>
  <si>
    <t>FCF/Debt</t>
  </si>
  <si>
    <t>Gross Margin % change</t>
  </si>
  <si>
    <t>Gross Profit/Total Assets % change</t>
  </si>
  <si>
    <t>Non Current Liabilities</t>
  </si>
  <si>
    <t>ROIC % change</t>
  </si>
  <si>
    <t xml:space="preserve">Current liabilities </t>
  </si>
  <si>
    <t>KEY RATIOS</t>
  </si>
  <si>
    <t>Net profit margin</t>
  </si>
  <si>
    <t>Debt Ratio</t>
  </si>
  <si>
    <t>Interest cover ratio</t>
  </si>
  <si>
    <t>Total Asset Turnover</t>
  </si>
  <si>
    <t>Price/Nav</t>
  </si>
  <si>
    <t>Price/Op cashflow</t>
  </si>
  <si>
    <t>Address</t>
  </si>
  <si>
    <t>Industry</t>
  </si>
  <si>
    <t>Sector</t>
  </si>
  <si>
    <t>Senior Management</t>
  </si>
  <si>
    <t>Company description</t>
  </si>
  <si>
    <t>Powerspeed Electrical is a leading supplier of electrical, hardware, building and home improvement products and services; trading through its own chain of hardware retail outlets known as Electrosales Hardware. The company supplies electrical products and solutions to the painting, plumbing, electrical, building, hand and power tools, outdoor and gardening, and automotive industries in Zimbabwe.</t>
  </si>
  <si>
    <t>Kelvin Road North/Cripps Road, Graniteside, Box GT942</t>
  </si>
  <si>
    <t>Harare, Zimbabwe</t>
  </si>
  <si>
    <t>Manging Director</t>
  </si>
  <si>
    <t>HILTION MACKLIN</t>
  </si>
  <si>
    <t>Operations Director &amp; Group Secretary</t>
  </si>
  <si>
    <t xml:space="preserve">MARTIN GURIRA </t>
  </si>
  <si>
    <t>Industrials</t>
  </si>
  <si>
    <t>Electronic &amp; Electrical Equipment</t>
  </si>
  <si>
    <t>Year 1</t>
  </si>
  <si>
    <t>Year 2-10</t>
  </si>
  <si>
    <t>Beyond 10</t>
  </si>
  <si>
    <t>Sales growth</t>
  </si>
  <si>
    <t>EBIT Margin</t>
  </si>
  <si>
    <t>Invested Capital</t>
  </si>
  <si>
    <t xml:space="preserve">Return on Capital </t>
  </si>
  <si>
    <t>Cost of Capital</t>
  </si>
  <si>
    <t>Terminal year</t>
  </si>
  <si>
    <t>EBIT(1-t)</t>
  </si>
  <si>
    <t>Reinvestment</t>
  </si>
  <si>
    <t>Discount rate</t>
  </si>
  <si>
    <t>Reinvestment rate</t>
  </si>
  <si>
    <t>Damodaran Estimate of ERP</t>
  </si>
  <si>
    <t>Our estimate</t>
  </si>
  <si>
    <t>A large part of Damodaran's estimate has to do with currency risk which does not fully apply for a domestic investor</t>
  </si>
  <si>
    <t>Ebit Growth</t>
  </si>
  <si>
    <t>Operating expenses</t>
  </si>
  <si>
    <t>Other operating income</t>
  </si>
  <si>
    <t>Deferred tax asset</t>
  </si>
  <si>
    <t>Intangible asset</t>
  </si>
  <si>
    <t>Non distributable reserve</t>
  </si>
  <si>
    <t>Revaluation reserve</t>
  </si>
  <si>
    <t>Equity component of shareholders loans</t>
  </si>
  <si>
    <t>Deferred consideration</t>
  </si>
  <si>
    <t>Dividend paid</t>
  </si>
  <si>
    <t>Proceeds from borrowings</t>
  </si>
  <si>
    <t>EBITDA</t>
  </si>
  <si>
    <t>Total comprehensive income</t>
  </si>
  <si>
    <t>Net cash outflow on loss of control of subsidiary</t>
  </si>
  <si>
    <t>STOCK RATING</t>
  </si>
  <si>
    <t xml:space="preserve">Strong Buy </t>
  </si>
  <si>
    <t>x&gt;80</t>
  </si>
  <si>
    <t>Buy</t>
  </si>
  <si>
    <t>80&lt;x&lt;65</t>
  </si>
  <si>
    <t xml:space="preserve">Hold </t>
  </si>
  <si>
    <t>65&lt;x&lt;50</t>
  </si>
  <si>
    <t>Sell</t>
  </si>
  <si>
    <t>50&lt;x&lt;35</t>
  </si>
  <si>
    <t>Strong Sell</t>
  </si>
  <si>
    <t>x&lt;35</t>
  </si>
  <si>
    <t>Weighting</t>
  </si>
  <si>
    <t>Raw Score</t>
  </si>
  <si>
    <t>Weighted Score</t>
  </si>
  <si>
    <t xml:space="preserve">Valuation </t>
  </si>
  <si>
    <t>Quality</t>
  </si>
  <si>
    <t>Analyst Opinion</t>
  </si>
  <si>
    <t>Total</t>
  </si>
  <si>
    <t>ANALYST OPINION (10)</t>
  </si>
  <si>
    <t>Max possible</t>
  </si>
  <si>
    <t>Score</t>
  </si>
  <si>
    <t>Above inflation pricing power for goods and services</t>
  </si>
  <si>
    <t>Earnings stability as shown by last 4years</t>
  </si>
  <si>
    <t>Market sentiment on the company</t>
  </si>
  <si>
    <t xml:space="preserve">Total </t>
  </si>
  <si>
    <t>VALUATION  (40)</t>
  </si>
  <si>
    <t>Current  price</t>
  </si>
  <si>
    <t>Estimated Price</t>
  </si>
  <si>
    <t>Differential</t>
  </si>
  <si>
    <t>Scoring</t>
  </si>
  <si>
    <t xml:space="preserve">Weighting </t>
  </si>
  <si>
    <t>Points</t>
  </si>
  <si>
    <t xml:space="preserve">Current Valuation </t>
  </si>
  <si>
    <t>Fair Valuation / Industry average</t>
  </si>
  <si>
    <t>P/E (F)</t>
  </si>
  <si>
    <t>P/E/P/E(F)</t>
  </si>
  <si>
    <t>Valuation Differential</t>
  </si>
  <si>
    <t>&gt;50%</t>
  </si>
  <si>
    <t>20%&lt;x&lt;50%</t>
  </si>
  <si>
    <t>10%&lt;x&lt;20%</t>
  </si>
  <si>
    <t>5%&lt;x&lt;10%</t>
  </si>
  <si>
    <t>0%&lt;x&lt;5%</t>
  </si>
  <si>
    <t>0%&lt;x&lt;-5%</t>
  </si>
  <si>
    <t>*-5%&lt;x&lt;-15%</t>
  </si>
  <si>
    <t>*-15%&gt;x</t>
  </si>
  <si>
    <t>GROWTH (20)</t>
  </si>
  <si>
    <t>Relative Weighting</t>
  </si>
  <si>
    <t>Growth %</t>
  </si>
  <si>
    <t>Weighted Scoring</t>
  </si>
  <si>
    <t xml:space="preserve">Net profit growth </t>
  </si>
  <si>
    <t xml:space="preserve">EBIT growth </t>
  </si>
  <si>
    <t>Free cash flow growth</t>
  </si>
  <si>
    <t>QUALITY (30)</t>
  </si>
  <si>
    <t>Net Profit margin</t>
  </si>
  <si>
    <t>ST % of current assets</t>
  </si>
  <si>
    <t>&gt;20%</t>
  </si>
  <si>
    <t>15%&lt;x&lt;20%</t>
  </si>
  <si>
    <t>10%&lt;x&lt;15%</t>
  </si>
  <si>
    <t>ST % invested capital</t>
  </si>
  <si>
    <t>&gt;100%</t>
  </si>
  <si>
    <t>&gt;3</t>
  </si>
  <si>
    <t>0&lt;x&lt;5%</t>
  </si>
  <si>
    <t>50%&lt;x&lt;100%</t>
  </si>
  <si>
    <t>&gt;25%</t>
  </si>
  <si>
    <t>2,5&lt;x&lt;3</t>
  </si>
  <si>
    <t>20%&lt;x&lt;25%</t>
  </si>
  <si>
    <t>2&lt;x&lt;2,5</t>
  </si>
  <si>
    <t>1,5&lt;x&lt;2</t>
  </si>
  <si>
    <t>1&lt;x&lt;1,5</t>
  </si>
  <si>
    <t>0,5&lt;x&lt;1</t>
  </si>
  <si>
    <t>25%&lt;x</t>
  </si>
  <si>
    <t>&lt;0%</t>
  </si>
  <si>
    <t>*0%&lt;x&lt;5%</t>
  </si>
  <si>
    <t>*-5%&lt;x&lt;0%</t>
  </si>
  <si>
    <t>&lt;0,5</t>
  </si>
  <si>
    <t>x&lt;-5%</t>
  </si>
  <si>
    <t>&gt;10</t>
  </si>
  <si>
    <t>5&lt;x&lt;10</t>
  </si>
  <si>
    <t>3&lt;x&lt;5</t>
  </si>
  <si>
    <t>2&lt;x&lt;3</t>
  </si>
  <si>
    <t>1&lt;x&lt;2</t>
  </si>
  <si>
    <t>0,5&lt;x1</t>
  </si>
  <si>
    <t>x&lt;0,5</t>
  </si>
  <si>
    <t>Total Asset turnover</t>
  </si>
  <si>
    <t>Inventory turnover</t>
  </si>
  <si>
    <t xml:space="preserve">Rise by more than 30% </t>
  </si>
  <si>
    <t>Rise by 20-30%</t>
  </si>
  <si>
    <t>Rise by 10-20%</t>
  </si>
  <si>
    <t>Rise by 5-10%</t>
  </si>
  <si>
    <t>Rise by 0- 5%</t>
  </si>
  <si>
    <t>Rise by -5%-0%</t>
  </si>
  <si>
    <t>Drop by less than 5%-10%</t>
  </si>
  <si>
    <t>Rise by less than -5%</t>
  </si>
  <si>
    <t>Drop by less than 10%</t>
  </si>
  <si>
    <t>Receivables turnover</t>
  </si>
  <si>
    <t xml:space="preserve">Max possible </t>
  </si>
  <si>
    <t xml:space="preserve">Composition of a board - adequate non execs, qualified and independent directors </t>
  </si>
  <si>
    <t>Provide adequate disclosures and demonstrate ethical conduct and fair compensation</t>
  </si>
  <si>
    <t>Ownership of the company- prefer management with significant ownership of company</t>
  </si>
  <si>
    <t xml:space="preserve">Ownership </t>
  </si>
  <si>
    <t xml:space="preserve">Total management ownership </t>
  </si>
  <si>
    <t>x&gt;10%</t>
  </si>
  <si>
    <t>2%&lt;x5%</t>
  </si>
  <si>
    <t>1%&lt;x&lt;2%</t>
  </si>
  <si>
    <t>0%&lt;x&lt;1%</t>
  </si>
  <si>
    <t xml:space="preserve">June </t>
  </si>
  <si>
    <t>Other income</t>
  </si>
  <si>
    <t>Administration expenses</t>
  </si>
  <si>
    <t>Prepayment and deposits</t>
  </si>
  <si>
    <t>Short term investments</t>
  </si>
  <si>
    <t>Assets classified as held for sale</t>
  </si>
  <si>
    <t>Retained earnings</t>
  </si>
  <si>
    <t>acquisition of short term investments</t>
  </si>
  <si>
    <t>Additions of intangible assets</t>
  </si>
  <si>
    <t>Fair value adjustments</t>
  </si>
  <si>
    <t xml:space="preserve">Investments </t>
  </si>
  <si>
    <t>Contracts in progress and contracts receivables</t>
  </si>
  <si>
    <t>Finance lease liabilities</t>
  </si>
  <si>
    <t>Subscontractors</t>
  </si>
  <si>
    <t>Purchase of shares</t>
  </si>
  <si>
    <t>Dividends received</t>
  </si>
  <si>
    <t>Share of profit from joint venture</t>
  </si>
  <si>
    <t xml:space="preserve">Interest received </t>
  </si>
  <si>
    <t xml:space="preserve">net cash generated from discontinued operations </t>
  </si>
  <si>
    <t>Purchase of Tbills</t>
  </si>
  <si>
    <t>net cash invested from discontinued operations</t>
  </si>
  <si>
    <t>FY2018</t>
  </si>
  <si>
    <t>Q2</t>
  </si>
  <si>
    <t>Q3</t>
  </si>
  <si>
    <t>EbitMargin</t>
  </si>
  <si>
    <t>Depreciation</t>
  </si>
  <si>
    <t xml:space="preserve">Net book value </t>
  </si>
  <si>
    <t>Depriciation</t>
  </si>
  <si>
    <t>Net interest paid</t>
  </si>
  <si>
    <t>Profit before depriciation and fair value adjustments</t>
  </si>
  <si>
    <t>net cash generated from investing activities</t>
  </si>
  <si>
    <t xml:space="preserve">Net cashflow from financing activities </t>
  </si>
  <si>
    <t>FY2019</t>
  </si>
  <si>
    <t>(Interim)</t>
  </si>
  <si>
    <t>FY2020</t>
  </si>
  <si>
    <t>Share price</t>
  </si>
  <si>
    <t>Share issued</t>
  </si>
  <si>
    <t>Non cash working capital</t>
  </si>
  <si>
    <t>Reinvestment/Sales</t>
  </si>
  <si>
    <t>Net monetory loss</t>
  </si>
  <si>
    <t>Non working capital</t>
  </si>
  <si>
    <t>Inflation</t>
  </si>
  <si>
    <t>order book</t>
  </si>
  <si>
    <t>Operating profit</t>
  </si>
  <si>
    <t xml:space="preserve">Falling operational margins from 275 to 19% </t>
  </si>
  <si>
    <t xml:space="preserve">$108m net cash position </t>
  </si>
  <si>
    <t>Share buy back approved in May 2020</t>
  </si>
  <si>
    <t>Net monetory gain</t>
  </si>
  <si>
    <t>Sales/Capital</t>
  </si>
  <si>
    <t>FY2021</t>
  </si>
  <si>
    <t>FY2022</t>
  </si>
  <si>
    <t>2020F</t>
  </si>
  <si>
    <t>2021F</t>
  </si>
  <si>
    <t>2022 order book: US$214 Million</t>
  </si>
  <si>
    <t>in 2021 over 17% of the admin expenses were absorbed by Bank charges only</t>
  </si>
  <si>
    <t xml:space="preserve">The company has 23 ongoing projects </t>
  </si>
  <si>
    <t>Giona Capital- Malunga</t>
  </si>
  <si>
    <t>Amalgamated Africa- Paddy</t>
  </si>
  <si>
    <t>Zumbani Capital- 2 white guys</t>
  </si>
  <si>
    <t>Masimba is owened by Management</t>
  </si>
  <si>
    <t>Top shareholders</t>
  </si>
  <si>
    <t xml:space="preserve">Top 3 directors collectively owned 98 million shares OUT OF 241.65 million outstanding shares, that’s 40%. </t>
  </si>
  <si>
    <t>Order book</t>
  </si>
  <si>
    <t>Free cash flow yield</t>
  </si>
  <si>
    <t>Net cash per share</t>
  </si>
  <si>
    <t>Exchange rate 1997</t>
  </si>
  <si>
    <t>Description</t>
  </si>
  <si>
    <t>Revenue 1997 ZWL</t>
  </si>
  <si>
    <t xml:space="preserve">Mkt cap ZWL </t>
  </si>
  <si>
    <t>Mkt cap june usd</t>
  </si>
  <si>
    <t>Revenue usd</t>
  </si>
  <si>
    <t>Share price zwl</t>
  </si>
  <si>
    <t xml:space="preserve">Share price USD </t>
  </si>
  <si>
    <t>Number of shares</t>
  </si>
  <si>
    <t xml:space="preserve">%ge change </t>
  </si>
  <si>
    <t>FY2023</t>
  </si>
  <si>
    <t>EBIT Margins</t>
  </si>
  <si>
    <t>FY2024F</t>
  </si>
  <si>
    <t>Population</t>
  </si>
  <si>
    <t>Current Price Usc</t>
  </si>
  <si>
    <t xml:space="preserve">Margin of Safety </t>
  </si>
  <si>
    <t>Per Share Value Usc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</si>
</sst>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3" formatCode="_-* #,##0.00_-;\-* #,##0.00_-;_-* &quot;-&quot;??_-;_-@_-"/>
    <numFmt numFmtId="164" formatCode="&quot;US$&quot;#,##0.00;[Red]\-&quot;US$&quot;#,##0.00"/>
    <numFmt numFmtId="165" formatCode="&quot;$&quot;#,##0_);\(&quot;$&quot;#,##0\)"/>
    <numFmt numFmtId="166" formatCode="_ * #,##0.00_ ;_ * \-#,##0.00_ ;_ * &quot;-&quot;??_ ;_ @_ "/>
    <numFmt numFmtId="167" formatCode="_ * #,##0_ ;_ * \-#,##0_ ;_ * &quot;-&quot;??_ ;_ @_ "/>
    <numFmt numFmtId="168" formatCode="0.0%"/>
    <numFmt numFmtId="169" formatCode="0.0"/>
    <numFmt numFmtId="170" formatCode="_ * #,##0.000_ ;_ * \-#,##0.000_ ;_ * &quot;-&quot;??_ ;_ @_ "/>
    <numFmt numFmtId="171" formatCode="_ * #,##0.0_ ;_ * \-#,##0.0_ ;_ * &quot;-&quot;??_ ;_ @_ "/>
    <numFmt numFmtId="172" formatCode="_(&quot;$&quot;* #,##0.0_);_(&quot;$&quot;* \(#,##0.0\);_(&quot;$&quot;* &quot;-&quot;?_);_(@_)"/>
    <numFmt numFmtId="173" formatCode="_(&quot;$&quot;* #,##0_);_(&quot;$&quot;* \(#,##0\);_(&quot;$&quot;* &quot;-&quot;?_);_(@_)"/>
    <numFmt numFmtId="174" formatCode="&quot;$&quot;#,##0.0_);\(&quot;$&quot;#,##0.0\)"/>
    <numFmt numFmtId="175" formatCode="_(&quot;$&quot;* #,##0_);_(&quot;$&quot;* \(#,##0\);_(&quot;$&quot;* &quot;-&quot;??_);_(@_)"/>
    <numFmt numFmtId="176" formatCode="[$$-3009]#,##0.00"/>
    <numFmt numFmtId="177" formatCode="[$-3009]General"/>
    <numFmt numFmtId="178" formatCode="#,##0.00&quot; &quot;;&quot; -&quot;#,##0.00&quot; &quot;;&quot; -&quot;#&quot; &quot;;@&quot; &quot;"/>
    <numFmt numFmtId="179" formatCode="_-* #,##0_-;\-* #,##0_-;_-* &quot;-&quot;??_-;_-@_-"/>
    <numFmt numFmtId="180" formatCode="_ * #,##0.00_ ;_ * \-#,##0.00_ ;_ * \-??_ ;_ @_ "/>
    <numFmt numFmtId="181" formatCode="_ * #,##0.0_ ;_ * \-#,##0.0_ ;_ * \-??_ ;_ @_ "/>
    <numFmt numFmtId="182" formatCode="_ * #,##0_ ;_ * \-#,##0_ ;_ * \-??_ ;_ @_ "/>
    <numFmt numFmtId="183" formatCode="&quot;US$&quot;#,##0"/>
    <numFmt numFmtId="184" formatCode="&quot;US$&quot;#,##0.0"/>
    <numFmt numFmtId="185" formatCode="&quot;US$&quot;#,##0.00"/>
    <numFmt numFmtId="186" formatCode="0.0000"/>
    <numFmt numFmtId="187" formatCode="[$$-380A]\ #,##0.00"/>
    <numFmt numFmtId="188" formatCode="_-* #,##0.00000_-;\-* #,##0.00000_-;_-* &quot;-&quot;??_-;_-@_-"/>
  </numFmts>
  <fonts count="49">
    <font>
      <sz val="11"/>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b/>
      <sz val="9"/>
      <color theme="0"/>
      <name val="Calibri"/>
      <family val="2"/>
      <scheme val="minor"/>
    </font>
    <font>
      <sz val="9"/>
      <color theme="1"/>
      <name val="Calibri"/>
      <family val="2"/>
      <scheme val="minor"/>
    </font>
    <font>
      <b/>
      <sz val="9"/>
      <color theme="1"/>
      <name val="Calibri"/>
      <family val="2"/>
      <scheme val="minor"/>
    </font>
    <font>
      <sz val="9"/>
      <name val="Arial"/>
      <family val="2"/>
    </font>
    <font>
      <sz val="9"/>
      <name val="MS Sans Serif"/>
      <family val="2"/>
    </font>
    <font>
      <b/>
      <sz val="9"/>
      <name val="Arial"/>
      <family val="2"/>
    </font>
    <font>
      <sz val="9"/>
      <name val="Calibri"/>
      <family val="2"/>
      <scheme val="minor"/>
    </font>
    <font>
      <sz val="9"/>
      <color theme="0"/>
      <name val="Calibri"/>
      <family val="2"/>
      <scheme val="minor"/>
    </font>
    <font>
      <b/>
      <sz val="9"/>
      <name val="Calibri"/>
      <family val="2"/>
      <scheme val="minor"/>
    </font>
    <font>
      <b/>
      <sz val="11"/>
      <color theme="1"/>
      <name val="Calibri"/>
      <family val="2"/>
      <scheme val="minor"/>
    </font>
    <font>
      <sz val="11"/>
      <color theme="0"/>
      <name val="Calibri"/>
      <family val="2"/>
      <scheme val="minor"/>
    </font>
    <font>
      <sz val="9"/>
      <color theme="1"/>
      <name val="Arial"/>
      <family val="2"/>
    </font>
    <font>
      <sz val="11"/>
      <color theme="1"/>
      <name val="Calibri"/>
      <family val="3"/>
      <charset val="129"/>
      <scheme val="minor"/>
    </font>
    <font>
      <b/>
      <sz val="10"/>
      <name val="Arial"/>
      <family val="2"/>
    </font>
    <font>
      <b/>
      <i/>
      <sz val="10"/>
      <name val="Arial"/>
      <family val="2"/>
    </font>
    <font>
      <b/>
      <sz val="10"/>
      <color rgb="FF002060"/>
      <name val="Arial"/>
      <family val="2"/>
    </font>
    <font>
      <sz val="10"/>
      <color theme="1"/>
      <name val="Arial"/>
      <family val="2"/>
    </font>
    <font>
      <b/>
      <sz val="11"/>
      <color rgb="FF002060"/>
      <name val="Arial"/>
      <family val="2"/>
    </font>
    <font>
      <sz val="10"/>
      <name val="Arial"/>
      <family val="2"/>
    </font>
    <font>
      <b/>
      <sz val="9"/>
      <color theme="1"/>
      <name val="Arial"/>
      <family val="2"/>
    </font>
    <font>
      <b/>
      <i/>
      <sz val="12"/>
      <color theme="1"/>
      <name val="Arial"/>
      <family val="2"/>
    </font>
    <font>
      <b/>
      <sz val="10"/>
      <color theme="0"/>
      <name val="Arial"/>
      <family val="2"/>
    </font>
    <font>
      <sz val="11"/>
      <color rgb="FF000000"/>
      <name val="Calibri1"/>
    </font>
    <font>
      <b/>
      <sz val="11"/>
      <color theme="0"/>
      <name val="Franklin Gothic Book"/>
      <family val="2"/>
    </font>
    <font>
      <b/>
      <sz val="9"/>
      <color theme="0"/>
      <name val="Franklin Gothic Book"/>
      <family val="2"/>
    </font>
    <font>
      <sz val="11"/>
      <color theme="1"/>
      <name val="Franklin Gothic Book"/>
      <family val="2"/>
    </font>
    <font>
      <b/>
      <sz val="11"/>
      <color rgb="FFFF0000"/>
      <name val="Franklin Gothic Book"/>
      <family val="2"/>
    </font>
    <font>
      <sz val="10"/>
      <color theme="1"/>
      <name val="Franklin Gothic Book"/>
      <family val="2"/>
    </font>
    <font>
      <b/>
      <sz val="10"/>
      <color theme="1"/>
      <name val="Franklin Gothic Book"/>
      <family val="2"/>
    </font>
    <font>
      <b/>
      <sz val="11"/>
      <color theme="1"/>
      <name val="Franklin Gothic Book"/>
      <family val="2"/>
    </font>
    <font>
      <b/>
      <sz val="9"/>
      <color theme="1"/>
      <name val="Franklin Gothic Book"/>
      <family val="2"/>
    </font>
    <font>
      <b/>
      <sz val="10"/>
      <color theme="0"/>
      <name val="Franklin Gothic Book"/>
      <family val="2"/>
    </font>
    <font>
      <b/>
      <sz val="11"/>
      <name val="Franklin Gothic Book"/>
      <family val="2"/>
    </font>
    <font>
      <b/>
      <sz val="10"/>
      <name val="Franklin Gothic Book"/>
      <family val="2"/>
    </font>
    <font>
      <b/>
      <i/>
      <sz val="9"/>
      <color rgb="FFFF0000"/>
      <name val="Calibri"/>
      <family val="2"/>
      <scheme val="minor"/>
    </font>
    <font>
      <sz val="10"/>
      <color theme="0"/>
      <name val="Franklin Gothic Book"/>
      <family val="2"/>
    </font>
    <font>
      <sz val="10"/>
      <name val="Franklin Gothic Book"/>
      <family val="2"/>
    </font>
    <font>
      <b/>
      <sz val="10"/>
      <color rgb="FFFFFFFF"/>
      <name val="Franklin Gothic Book"/>
      <family val="2"/>
      <charset val="1"/>
    </font>
    <font>
      <sz val="10"/>
      <color rgb="FF000000"/>
      <name val="Franklin Gothic Book"/>
      <family val="2"/>
      <charset val="1"/>
    </font>
    <font>
      <b/>
      <sz val="10"/>
      <color rgb="FF000000"/>
      <name val="Franklin Gothic Book"/>
      <family val="2"/>
      <charset val="1"/>
    </font>
    <font>
      <b/>
      <sz val="10"/>
      <name val="Franklin Gothic Book"/>
      <family val="2"/>
      <charset val="1"/>
    </font>
    <font>
      <sz val="10"/>
      <color rgb="FFA6A6A6"/>
      <name val="Franklin Gothic Book"/>
      <family val="2"/>
      <charset val="1"/>
    </font>
    <font>
      <sz val="8"/>
      <name val="Calibri"/>
      <family val="2"/>
      <scheme val="minor"/>
    </font>
    <font>
      <b/>
      <sz val="10"/>
      <color theme="1"/>
      <name val="Franklin Gothic Book"/>
      <family val="2"/>
      <charset val="1"/>
    </font>
    <font>
      <b/>
      <sz val="10"/>
      <color rgb="FF000000"/>
      <name val="Franklin Gothic Book"/>
      <family val="2"/>
    </font>
  </fonts>
  <fills count="1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002060"/>
        <bgColor rgb="FF000080"/>
      </patternFill>
    </fill>
    <fill>
      <patternFill patternType="solid">
        <fgColor rgb="FF00B050"/>
        <bgColor rgb="FF3D97AF"/>
      </patternFill>
    </fill>
    <fill>
      <patternFill patternType="solid">
        <fgColor rgb="FF92D050"/>
        <bgColor rgb="FFB3C992"/>
      </patternFill>
    </fill>
    <fill>
      <patternFill patternType="solid">
        <fgColor rgb="FFA6A6A6"/>
        <bgColor rgb="FFA596B9"/>
      </patternFill>
    </fill>
    <fill>
      <patternFill patternType="solid">
        <fgColor rgb="FFFFC000"/>
        <bgColor rgb="FFFFFF00"/>
      </patternFill>
    </fill>
    <fill>
      <patternFill patternType="solid">
        <fgColor rgb="FFFF0000"/>
        <bgColor rgb="FF800000"/>
      </patternFill>
    </fill>
    <fill>
      <patternFill patternType="solid">
        <fgColor rgb="FFDCE6F2"/>
        <bgColor rgb="FFD9D9D9"/>
      </patternFill>
    </fill>
    <fill>
      <patternFill patternType="solid">
        <fgColor rgb="FFFFFF00"/>
        <bgColor indexed="64"/>
      </patternFill>
    </fill>
  </fills>
  <borders count="63">
    <border>
      <left/>
      <right/>
      <top/>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n">
        <color indexed="64"/>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dotted">
        <color theme="0" tint="-0.249977111117893"/>
      </right>
      <top/>
      <bottom/>
      <diagonal/>
    </border>
    <border>
      <left style="dotted">
        <color theme="0" tint="-0.249977111117893"/>
      </left>
      <right style="dotted">
        <color theme="0" tint="-0.249977111117893"/>
      </right>
      <top/>
      <bottom/>
      <diagonal/>
    </border>
    <border>
      <left/>
      <right style="dotted">
        <color theme="0" tint="-0.249977111117893"/>
      </right>
      <top/>
      <bottom style="double">
        <color theme="0" tint="-0.249977111117893"/>
      </bottom>
      <diagonal/>
    </border>
    <border>
      <left style="dotted">
        <color theme="0" tint="-0.249977111117893"/>
      </left>
      <right style="dotted">
        <color theme="0" tint="-0.249977111117893"/>
      </right>
      <top/>
      <bottom style="double">
        <color theme="0" tint="-0.249977111117893"/>
      </bottom>
      <diagonal/>
    </border>
    <border>
      <left/>
      <right/>
      <top/>
      <bottom style="double">
        <color theme="0" tint="-0.249977111117893"/>
      </bottom>
      <diagonal/>
    </border>
    <border>
      <left/>
      <right/>
      <top/>
      <bottom style="double">
        <color indexed="64"/>
      </bottom>
      <diagonal/>
    </border>
    <border>
      <left/>
      <right style="thin">
        <color indexed="64"/>
      </right>
      <top style="thin">
        <color indexed="64"/>
      </top>
      <bottom style="thin">
        <color indexed="64"/>
      </bottom>
      <diagonal/>
    </border>
    <border>
      <left style="thin">
        <color indexed="64"/>
      </left>
      <right style="hair">
        <color theme="0" tint="-0.249977111117893"/>
      </right>
      <top style="thin">
        <color indexed="64"/>
      </top>
      <bottom style="thin">
        <color indexed="64"/>
      </bottom>
      <diagonal/>
    </border>
    <border>
      <left style="hair">
        <color theme="0" tint="-0.249977111117893"/>
      </left>
      <right style="hair">
        <color theme="0" tint="-0.249977111117893"/>
      </right>
      <top style="thin">
        <color indexed="64"/>
      </top>
      <bottom style="thin">
        <color indexed="64"/>
      </bottom>
      <diagonal/>
    </border>
    <border>
      <left style="medium">
        <color auto="1"/>
      </left>
      <right/>
      <top style="thin">
        <color auto="1"/>
      </top>
      <bottom/>
      <diagonal/>
    </border>
    <border>
      <left style="medium">
        <color auto="1"/>
      </left>
      <right/>
      <top/>
      <bottom style="thin">
        <color auto="1"/>
      </bottom>
      <diagonal/>
    </border>
    <border>
      <left style="medium">
        <color auto="1"/>
      </left>
      <right/>
      <top style="thin">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diagonal/>
    </border>
    <border>
      <left/>
      <right style="medium">
        <color auto="1"/>
      </right>
      <top style="thin">
        <color auto="1"/>
      </top>
      <bottom/>
      <diagonal/>
    </border>
    <border>
      <left style="medium">
        <color auto="1"/>
      </left>
      <right style="thin">
        <color auto="1"/>
      </right>
      <top/>
      <bottom style="medium">
        <color auto="1"/>
      </bottom>
      <diagonal/>
    </border>
    <border>
      <left style="medium">
        <color auto="1"/>
      </left>
      <right style="thin">
        <color auto="1"/>
      </right>
      <top style="medium">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rgb="FFFFFFFF"/>
      </right>
      <top style="medium">
        <color auto="1"/>
      </top>
      <bottom style="thin">
        <color auto="1"/>
      </bottom>
      <diagonal/>
    </border>
    <border>
      <left style="thin">
        <color rgb="FFFFFFFF"/>
      </left>
      <right style="thin">
        <color rgb="FFFFFFFF"/>
      </right>
      <top style="medium">
        <color auto="1"/>
      </top>
      <bottom style="thin">
        <color auto="1"/>
      </bottom>
      <diagonal/>
    </border>
    <border>
      <left style="thin">
        <color rgb="FFFFFFFF"/>
      </left>
      <right style="thin">
        <color rgb="FFFFFFFF"/>
      </right>
      <top/>
      <bottom style="thin">
        <color auto="1"/>
      </bottom>
      <diagonal/>
    </border>
    <border>
      <left style="thin">
        <color rgb="FFFFFFFF"/>
      </left>
      <right style="medium">
        <color auto="1"/>
      </right>
      <top style="medium">
        <color auto="1"/>
      </top>
      <bottom style="thin">
        <color auto="1"/>
      </bottom>
      <diagonal/>
    </border>
  </borders>
  <cellStyleXfs count="7">
    <xf numFmtId="0" fontId="0" fillId="0" borderId="0"/>
    <xf numFmtId="166" fontId="1" fillId="0" borderId="0" applyFont="0" applyFill="0" applyBorder="0" applyAlignment="0" applyProtection="0"/>
    <xf numFmtId="9" fontId="1" fillId="0" borderId="0" applyFont="0" applyFill="0" applyBorder="0" applyAlignment="0" applyProtection="0"/>
    <xf numFmtId="0" fontId="16" fillId="0" borderId="0">
      <alignment vertical="center"/>
    </xf>
    <xf numFmtId="0" fontId="1" fillId="0" borderId="0"/>
    <xf numFmtId="177" fontId="26" fillId="0" borderId="0" applyBorder="0" applyProtection="0"/>
    <xf numFmtId="178" fontId="26" fillId="0" borderId="0" applyBorder="0" applyProtection="0"/>
  </cellStyleXfs>
  <cellXfs count="464">
    <xf numFmtId="0" fontId="0" fillId="0" borderId="0" xfId="0"/>
    <xf numFmtId="0" fontId="5" fillId="2" borderId="0" xfId="0" applyFont="1" applyFill="1"/>
    <xf numFmtId="0" fontId="6" fillId="2" borderId="0" xfId="0" applyFont="1" applyFill="1"/>
    <xf numFmtId="0" fontId="4" fillId="4" borderId="0" xfId="0" applyFont="1" applyFill="1"/>
    <xf numFmtId="0" fontId="5" fillId="3" borderId="0" xfId="0" applyFont="1" applyFill="1"/>
    <xf numFmtId="167" fontId="5" fillId="3" borderId="0" xfId="1" applyNumberFormat="1" applyFont="1" applyFill="1" applyBorder="1"/>
    <xf numFmtId="0" fontId="6" fillId="3" borderId="0" xfId="0" applyFont="1" applyFill="1"/>
    <xf numFmtId="0" fontId="6" fillId="3" borderId="23" xfId="0" applyFont="1" applyFill="1" applyBorder="1"/>
    <xf numFmtId="0" fontId="7" fillId="2" borderId="0" xfId="0" applyFont="1" applyFill="1"/>
    <xf numFmtId="0" fontId="9" fillId="2" borderId="0" xfId="0" applyFont="1" applyFill="1"/>
    <xf numFmtId="168" fontId="7" fillId="2" borderId="0" xfId="2" applyNumberFormat="1" applyFont="1" applyFill="1"/>
    <xf numFmtId="167" fontId="5" fillId="2" borderId="0" xfId="1" applyNumberFormat="1" applyFont="1" applyFill="1"/>
    <xf numFmtId="168" fontId="9" fillId="2" borderId="0" xfId="2" applyNumberFormat="1" applyFont="1" applyFill="1"/>
    <xf numFmtId="9" fontId="5" fillId="3" borderId="0" xfId="0" applyNumberFormat="1" applyFont="1" applyFill="1"/>
    <xf numFmtId="9" fontId="7" fillId="3" borderId="0" xfId="2" applyFont="1" applyFill="1"/>
    <xf numFmtId="168" fontId="5" fillId="3" borderId="0" xfId="0" applyNumberFormat="1" applyFont="1" applyFill="1"/>
    <xf numFmtId="167" fontId="5" fillId="3" borderId="0" xfId="1" applyNumberFormat="1" applyFont="1" applyFill="1"/>
    <xf numFmtId="0" fontId="5" fillId="2" borderId="0" xfId="0" applyFont="1" applyFill="1" applyAlignment="1">
      <alignment vertical="top" wrapText="1"/>
    </xf>
    <xf numFmtId="167" fontId="5" fillId="2" borderId="0" xfId="1" applyNumberFormat="1" applyFont="1" applyFill="1" applyAlignment="1">
      <alignment horizontal="right" vertical="top" wrapText="1"/>
    </xf>
    <xf numFmtId="0" fontId="6" fillId="2" borderId="27" xfId="0" applyFont="1" applyFill="1" applyBorder="1" applyAlignment="1">
      <alignment vertical="top" wrapText="1"/>
    </xf>
    <xf numFmtId="0" fontId="6" fillId="2" borderId="0" xfId="0" applyFont="1" applyFill="1" applyAlignment="1">
      <alignment vertical="top" wrapText="1"/>
    </xf>
    <xf numFmtId="167" fontId="4" fillId="4" borderId="0" xfId="1" applyNumberFormat="1" applyFont="1" applyFill="1" applyAlignment="1">
      <alignment horizontal="right" vertical="center" wrapText="1"/>
    </xf>
    <xf numFmtId="0" fontId="11" fillId="4" borderId="0" xfId="0" applyFont="1" applyFill="1"/>
    <xf numFmtId="2" fontId="6" fillId="2" borderId="0" xfId="0" applyNumberFormat="1" applyFont="1" applyFill="1" applyAlignment="1">
      <alignment horizontal="right" vertical="center" wrapText="1"/>
    </xf>
    <xf numFmtId="170" fontId="5" fillId="2" borderId="0" xfId="1" applyNumberFormat="1" applyFont="1" applyFill="1" applyAlignment="1">
      <alignment horizontal="right" vertical="top" wrapText="1"/>
    </xf>
    <xf numFmtId="166" fontId="5" fillId="2" borderId="0" xfId="1" applyFont="1" applyFill="1" applyAlignment="1">
      <alignment horizontal="right" vertical="top" wrapText="1"/>
    </xf>
    <xf numFmtId="0" fontId="4" fillId="4" borderId="0" xfId="0" applyFont="1" applyFill="1" applyAlignment="1">
      <alignment horizontal="right" vertical="center" wrapText="1"/>
    </xf>
    <xf numFmtId="1" fontId="4" fillId="4" borderId="0" xfId="1" applyNumberFormat="1" applyFont="1" applyFill="1" applyAlignment="1">
      <alignment horizontal="right" vertical="center" wrapText="1"/>
    </xf>
    <xf numFmtId="167" fontId="4" fillId="4" borderId="0" xfId="0" applyNumberFormat="1" applyFont="1" applyFill="1" applyAlignment="1">
      <alignment horizontal="right" vertical="center" wrapText="1"/>
    </xf>
    <xf numFmtId="2" fontId="5" fillId="2" borderId="0" xfId="0" applyNumberFormat="1" applyFont="1" applyFill="1" applyAlignment="1">
      <alignment horizontal="right" vertical="center" wrapText="1"/>
    </xf>
    <xf numFmtId="9" fontId="5" fillId="2" borderId="0" xfId="0" applyNumberFormat="1" applyFont="1" applyFill="1"/>
    <xf numFmtId="0" fontId="5" fillId="2" borderId="0" xfId="2" applyNumberFormat="1" applyFont="1" applyFill="1"/>
    <xf numFmtId="0" fontId="6" fillId="2" borderId="0" xfId="2" applyNumberFormat="1" applyFont="1" applyFill="1"/>
    <xf numFmtId="0" fontId="4" fillId="4" borderId="0" xfId="2" applyNumberFormat="1" applyFont="1" applyFill="1" applyAlignment="1">
      <alignment horizontal="right" vertical="center" wrapText="1"/>
    </xf>
    <xf numFmtId="0" fontId="11" fillId="4" borderId="0" xfId="2" applyNumberFormat="1" applyFont="1" applyFill="1"/>
    <xf numFmtId="0" fontId="10" fillId="2" borderId="0" xfId="0" applyFont="1" applyFill="1" applyAlignment="1">
      <alignment vertical="top" wrapText="1"/>
    </xf>
    <xf numFmtId="166" fontId="5" fillId="2" borderId="0" xfId="1" applyFont="1" applyFill="1"/>
    <xf numFmtId="0" fontId="4" fillId="4" borderId="0" xfId="0" applyFont="1" applyFill="1" applyAlignment="1">
      <alignment vertical="top" wrapText="1"/>
    </xf>
    <xf numFmtId="0" fontId="5" fillId="3" borderId="0" xfId="0" applyFont="1" applyFill="1" applyAlignment="1">
      <alignment vertical="top" wrapText="1"/>
    </xf>
    <xf numFmtId="167" fontId="5" fillId="3" borderId="0" xfId="1" applyNumberFormat="1" applyFont="1" applyFill="1" applyAlignment="1">
      <alignment horizontal="right" vertical="top" wrapText="1"/>
    </xf>
    <xf numFmtId="0" fontId="5" fillId="3" borderId="0" xfId="2" applyNumberFormat="1" applyFont="1" applyFill="1"/>
    <xf numFmtId="167" fontId="6" fillId="3" borderId="0" xfId="1" applyNumberFormat="1" applyFont="1" applyFill="1" applyAlignment="1">
      <alignment horizontal="right" vertical="top" wrapText="1"/>
    </xf>
    <xf numFmtId="167" fontId="6" fillId="3" borderId="0" xfId="1" applyNumberFormat="1" applyFont="1" applyFill="1"/>
    <xf numFmtId="0" fontId="6" fillId="3" borderId="0" xfId="0" applyFont="1" applyFill="1" applyAlignment="1">
      <alignment vertical="top" wrapText="1"/>
    </xf>
    <xf numFmtId="0" fontId="6" fillId="6" borderId="0" xfId="0" applyFont="1" applyFill="1" applyAlignment="1">
      <alignment vertical="top" wrapText="1"/>
    </xf>
    <xf numFmtId="166" fontId="6" fillId="6" borderId="0" xfId="1" applyFont="1" applyFill="1" applyAlignment="1">
      <alignment horizontal="right" vertical="top" wrapText="1"/>
    </xf>
    <xf numFmtId="0" fontId="6" fillId="6" borderId="0" xfId="2" applyNumberFormat="1" applyFont="1" applyFill="1" applyAlignment="1">
      <alignment horizontal="right" vertical="top" wrapText="1"/>
    </xf>
    <xf numFmtId="0" fontId="6" fillId="6" borderId="0" xfId="0" applyFont="1" applyFill="1"/>
    <xf numFmtId="167" fontId="6" fillId="6" borderId="0" xfId="1" applyNumberFormat="1" applyFont="1" applyFill="1"/>
    <xf numFmtId="0" fontId="6" fillId="6" borderId="0" xfId="2" applyNumberFormat="1" applyFont="1" applyFill="1"/>
    <xf numFmtId="0" fontId="5" fillId="6" borderId="0" xfId="0" applyFont="1" applyFill="1" applyAlignment="1">
      <alignment vertical="top" wrapText="1"/>
    </xf>
    <xf numFmtId="166" fontId="5" fillId="6" borderId="0" xfId="1" applyFont="1" applyFill="1" applyAlignment="1">
      <alignment horizontal="right" vertical="top" wrapText="1"/>
    </xf>
    <xf numFmtId="0" fontId="5" fillId="6" borderId="0" xfId="2" applyNumberFormat="1" applyFont="1" applyFill="1" applyAlignment="1">
      <alignment horizontal="right" vertical="top" wrapText="1"/>
    </xf>
    <xf numFmtId="0" fontId="5" fillId="6" borderId="0" xfId="0" applyFont="1" applyFill="1"/>
    <xf numFmtId="0" fontId="5" fillId="2" borderId="0" xfId="2" applyNumberFormat="1" applyFont="1" applyFill="1" applyBorder="1"/>
    <xf numFmtId="167" fontId="5" fillId="3" borderId="0" xfId="1" applyNumberFormat="1" applyFont="1" applyFill="1" applyBorder="1" applyAlignment="1">
      <alignment horizontal="right" vertical="top" wrapText="1"/>
    </xf>
    <xf numFmtId="167" fontId="10" fillId="3" borderId="0" xfId="1" applyNumberFormat="1" applyFont="1" applyFill="1" applyBorder="1" applyAlignment="1">
      <alignment horizontal="right" vertical="top" wrapText="1"/>
    </xf>
    <xf numFmtId="167" fontId="5" fillId="3" borderId="0" xfId="1" applyNumberFormat="1" applyFont="1" applyFill="1" applyBorder="1" applyAlignment="1">
      <alignment horizontal="left" vertical="top" wrapText="1"/>
    </xf>
    <xf numFmtId="167" fontId="4" fillId="4" borderId="0" xfId="1" applyNumberFormat="1" applyFont="1" applyFill="1" applyAlignment="1">
      <alignment horizontal="left" vertical="center" wrapText="1"/>
    </xf>
    <xf numFmtId="0" fontId="12" fillId="2" borderId="0" xfId="0" applyFont="1" applyFill="1" applyAlignment="1">
      <alignment vertical="top" wrapText="1"/>
    </xf>
    <xf numFmtId="167" fontId="4" fillId="4" borderId="0" xfId="0" applyNumberFormat="1" applyFont="1" applyFill="1" applyAlignment="1">
      <alignment vertical="top" wrapText="1"/>
    </xf>
    <xf numFmtId="0" fontId="13" fillId="0" borderId="0" xfId="0" applyFont="1"/>
    <xf numFmtId="0" fontId="0" fillId="5" borderId="33" xfId="0" applyFill="1" applyBorder="1"/>
    <xf numFmtId="168" fontId="0" fillId="0" borderId="0" xfId="0" applyNumberFormat="1"/>
    <xf numFmtId="0" fontId="18" fillId="0" borderId="33" xfId="0" applyFont="1" applyBorder="1"/>
    <xf numFmtId="0" fontId="17" fillId="0" borderId="33" xfId="0" applyFont="1" applyBorder="1"/>
    <xf numFmtId="0" fontId="0" fillId="0" borderId="35" xfId="0" applyBorder="1"/>
    <xf numFmtId="168" fontId="20" fillId="0" borderId="0" xfId="0" applyNumberFormat="1" applyFont="1"/>
    <xf numFmtId="9" fontId="23" fillId="0" borderId="0" xfId="0" applyNumberFormat="1" applyFont="1"/>
    <xf numFmtId="9" fontId="24" fillId="0" borderId="0" xfId="0" applyNumberFormat="1" applyFont="1"/>
    <xf numFmtId="0" fontId="19" fillId="0" borderId="0" xfId="0" applyFont="1"/>
    <xf numFmtId="175" fontId="0" fillId="0" borderId="0" xfId="0" applyNumberFormat="1"/>
    <xf numFmtId="0" fontId="22" fillId="5" borderId="33" xfId="0" applyFont="1" applyFill="1" applyBorder="1"/>
    <xf numFmtId="9" fontId="17" fillId="0" borderId="37" xfId="0" applyNumberFormat="1" applyFont="1" applyBorder="1"/>
    <xf numFmtId="168" fontId="23" fillId="0" borderId="0" xfId="0" applyNumberFormat="1" applyFont="1"/>
    <xf numFmtId="168" fontId="24" fillId="0" borderId="0" xfId="0" applyNumberFormat="1" applyFont="1"/>
    <xf numFmtId="3" fontId="5" fillId="2" borderId="0" xfId="0" applyNumberFormat="1" applyFont="1" applyFill="1"/>
    <xf numFmtId="170" fontId="5" fillId="6" borderId="0" xfId="1" applyNumberFormat="1" applyFont="1" applyFill="1" applyAlignment="1">
      <alignment horizontal="right" vertical="top" wrapText="1"/>
    </xf>
    <xf numFmtId="167" fontId="5" fillId="6" borderId="0" xfId="1" applyNumberFormat="1" applyFont="1" applyFill="1"/>
    <xf numFmtId="167" fontId="0" fillId="0" borderId="0" xfId="1" applyNumberFormat="1" applyFont="1"/>
    <xf numFmtId="167" fontId="5" fillId="2" borderId="0" xfId="0" applyNumberFormat="1" applyFont="1" applyFill="1"/>
    <xf numFmtId="2" fontId="17" fillId="0" borderId="0" xfId="0" applyNumberFormat="1" applyFont="1"/>
    <xf numFmtId="10" fontId="6" fillId="2" borderId="27" xfId="2" applyNumberFormat="1" applyFont="1" applyFill="1" applyBorder="1" applyAlignment="1">
      <alignment horizontal="right" vertical="top" wrapText="1"/>
    </xf>
    <xf numFmtId="166" fontId="6" fillId="2" borderId="0" xfId="1" applyFont="1" applyFill="1" applyAlignment="1">
      <alignment horizontal="right" vertical="top" wrapText="1"/>
    </xf>
    <xf numFmtId="166" fontId="6" fillId="2" borderId="0" xfId="1" applyFont="1" applyFill="1"/>
    <xf numFmtId="167" fontId="6" fillId="3" borderId="0" xfId="1" applyNumberFormat="1" applyFont="1" applyFill="1" applyBorder="1" applyAlignment="1">
      <alignment horizontal="right" vertical="top" wrapText="1"/>
    </xf>
    <xf numFmtId="0" fontId="6" fillId="3" borderId="27" xfId="0" applyFont="1" applyFill="1" applyBorder="1" applyAlignment="1">
      <alignment vertical="top" wrapText="1"/>
    </xf>
    <xf numFmtId="167" fontId="6" fillId="3" borderId="27" xfId="1" applyNumberFormat="1" applyFont="1" applyFill="1" applyBorder="1" applyAlignment="1">
      <alignment horizontal="right" vertical="top" wrapText="1"/>
    </xf>
    <xf numFmtId="0" fontId="6" fillId="3" borderId="24" xfId="0" applyFont="1" applyFill="1" applyBorder="1" applyAlignment="1">
      <alignment vertical="top" wrapText="1"/>
    </xf>
    <xf numFmtId="167" fontId="6" fillId="3" borderId="24" xfId="1" applyNumberFormat="1" applyFont="1" applyFill="1" applyBorder="1" applyAlignment="1">
      <alignment horizontal="right" vertical="top" wrapText="1"/>
    </xf>
    <xf numFmtId="0" fontId="6" fillId="3" borderId="23" xfId="0" applyFont="1" applyFill="1" applyBorder="1" applyAlignment="1">
      <alignment vertical="top" wrapText="1"/>
    </xf>
    <xf numFmtId="167" fontId="6" fillId="3" borderId="23" xfId="1" applyNumberFormat="1" applyFont="1" applyFill="1" applyBorder="1" applyAlignment="1">
      <alignment horizontal="right" vertical="top" wrapText="1"/>
    </xf>
    <xf numFmtId="167" fontId="12" fillId="3" borderId="0" xfId="1" applyNumberFormat="1" applyFont="1" applyFill="1" applyBorder="1" applyAlignment="1">
      <alignment horizontal="right" vertical="top" wrapText="1"/>
    </xf>
    <xf numFmtId="0" fontId="6" fillId="3" borderId="38" xfId="0" applyFont="1" applyFill="1" applyBorder="1" applyAlignment="1">
      <alignment vertical="top" wrapText="1"/>
    </xf>
    <xf numFmtId="167" fontId="6" fillId="3" borderId="38" xfId="1" applyNumberFormat="1" applyFont="1" applyFill="1" applyBorder="1" applyAlignment="1">
      <alignment horizontal="right" vertical="top" wrapText="1"/>
    </xf>
    <xf numFmtId="167" fontId="12" fillId="3" borderId="23" xfId="1" applyNumberFormat="1" applyFont="1" applyFill="1" applyBorder="1" applyAlignment="1">
      <alignment horizontal="right" vertical="top" wrapText="1"/>
    </xf>
    <xf numFmtId="0" fontId="12" fillId="3" borderId="0" xfId="0" applyFont="1" applyFill="1"/>
    <xf numFmtId="167" fontId="10" fillId="3" borderId="0" xfId="1" applyNumberFormat="1" applyFont="1" applyFill="1" applyAlignment="1">
      <alignment horizontal="right" vertical="top" wrapText="1"/>
    </xf>
    <xf numFmtId="0" fontId="10" fillId="3" borderId="0" xfId="0" applyFont="1" applyFill="1" applyAlignment="1">
      <alignment vertical="top" wrapText="1"/>
    </xf>
    <xf numFmtId="0" fontId="10" fillId="3" borderId="0" xfId="0" applyFont="1" applyFill="1"/>
    <xf numFmtId="166" fontId="5" fillId="3" borderId="27" xfId="1" applyFont="1" applyFill="1" applyBorder="1" applyAlignment="1">
      <alignment horizontal="right" vertical="top" wrapText="1"/>
    </xf>
    <xf numFmtId="3" fontId="12" fillId="3" borderId="0" xfId="0" applyNumberFormat="1" applyFont="1" applyFill="1"/>
    <xf numFmtId="3" fontId="5" fillId="2" borderId="0" xfId="2" applyNumberFormat="1" applyFont="1" applyFill="1"/>
    <xf numFmtId="0" fontId="11" fillId="4" borderId="0" xfId="0" applyFont="1" applyFill="1" applyAlignment="1">
      <alignment horizontal="right"/>
    </xf>
    <xf numFmtId="0" fontId="4" fillId="4" borderId="0" xfId="0" applyFont="1" applyFill="1" applyAlignment="1">
      <alignment horizontal="right"/>
    </xf>
    <xf numFmtId="0" fontId="11" fillId="4" borderId="0" xfId="2" applyNumberFormat="1" applyFont="1" applyFill="1" applyAlignment="1">
      <alignment horizontal="right"/>
    </xf>
    <xf numFmtId="2" fontId="31" fillId="0" borderId="0" xfId="1" applyNumberFormat="1" applyFont="1" applyFill="1" applyBorder="1"/>
    <xf numFmtId="9" fontId="31" fillId="3" borderId="0" xfId="0" applyNumberFormat="1" applyFont="1" applyFill="1"/>
    <xf numFmtId="0" fontId="27" fillId="4" borderId="0" xfId="0" applyFont="1" applyFill="1"/>
    <xf numFmtId="167" fontId="28" fillId="4" borderId="0" xfId="1" applyNumberFormat="1" applyFont="1" applyFill="1" applyAlignment="1">
      <alignment horizontal="center"/>
    </xf>
    <xf numFmtId="0" fontId="28" fillId="4" borderId="0" xfId="1" applyNumberFormat="1" applyFont="1" applyFill="1" applyAlignment="1">
      <alignment horizontal="center"/>
    </xf>
    <xf numFmtId="0" fontId="29" fillId="0" borderId="0" xfId="0" applyFont="1"/>
    <xf numFmtId="0" fontId="29" fillId="3" borderId="0" xfId="0" applyFont="1" applyFill="1"/>
    <xf numFmtId="167" fontId="29" fillId="3" borderId="0" xfId="1" applyNumberFormat="1" applyFont="1" applyFill="1"/>
    <xf numFmtId="0" fontId="30" fillId="0" borderId="0" xfId="0" applyFont="1"/>
    <xf numFmtId="0" fontId="31" fillId="3" borderId="0" xfId="0" applyFont="1" applyFill="1"/>
    <xf numFmtId="167" fontId="31" fillId="3" borderId="0" xfId="1" applyNumberFormat="1" applyFont="1" applyFill="1"/>
    <xf numFmtId="0" fontId="31" fillId="0" borderId="0" xfId="0" applyFont="1"/>
    <xf numFmtId="166" fontId="31" fillId="0" borderId="0" xfId="1" applyFont="1"/>
    <xf numFmtId="166" fontId="29" fillId="0" borderId="0" xfId="1" applyFont="1"/>
    <xf numFmtId="167" fontId="31" fillId="0" borderId="0" xfId="1" applyNumberFormat="1" applyFont="1" applyFill="1" applyBorder="1"/>
    <xf numFmtId="167" fontId="31" fillId="3" borderId="0" xfId="0" applyNumberFormat="1" applyFont="1" applyFill="1"/>
    <xf numFmtId="9" fontId="31" fillId="0" borderId="0" xfId="2" applyFont="1" applyFill="1" applyBorder="1"/>
    <xf numFmtId="167" fontId="31" fillId="0" borderId="0" xfId="1" applyNumberFormat="1" applyFont="1" applyFill="1" applyBorder="1" applyAlignment="1">
      <alignment horizontal="right"/>
    </xf>
    <xf numFmtId="169" fontId="31" fillId="0" borderId="0" xfId="0" applyNumberFormat="1" applyFont="1"/>
    <xf numFmtId="166" fontId="31" fillId="3" borderId="0" xfId="1" applyFont="1" applyFill="1"/>
    <xf numFmtId="9" fontId="31" fillId="0" borderId="0" xfId="2" applyFont="1"/>
    <xf numFmtId="168" fontId="31" fillId="0" borderId="0" xfId="2" applyNumberFormat="1" applyFont="1"/>
    <xf numFmtId="166" fontId="29" fillId="0" borderId="0" xfId="0" applyNumberFormat="1" applyFont="1"/>
    <xf numFmtId="0" fontId="32" fillId="0" borderId="0" xfId="0" applyFont="1"/>
    <xf numFmtId="0" fontId="33" fillId="0" borderId="0" xfId="0" applyFont="1"/>
    <xf numFmtId="0" fontId="28" fillId="4" borderId="0" xfId="0" applyFont="1" applyFill="1"/>
    <xf numFmtId="9" fontId="29" fillId="0" borderId="0" xfId="2" applyFont="1"/>
    <xf numFmtId="167" fontId="34" fillId="0" borderId="0" xfId="1" applyNumberFormat="1" applyFont="1" applyFill="1" applyBorder="1"/>
    <xf numFmtId="10" fontId="31" fillId="3" borderId="0" xfId="0" applyNumberFormat="1" applyFont="1" applyFill="1"/>
    <xf numFmtId="167" fontId="29" fillId="0" borderId="0" xfId="1" applyNumberFormat="1" applyFont="1"/>
    <xf numFmtId="167" fontId="29" fillId="0" borderId="0" xfId="1" applyNumberFormat="1" applyFont="1" applyFill="1" applyBorder="1"/>
    <xf numFmtId="0" fontId="35" fillId="4" borderId="0" xfId="0" applyFont="1" applyFill="1"/>
    <xf numFmtId="167" fontId="32" fillId="0" borderId="0" xfId="1" applyNumberFormat="1" applyFont="1" applyFill="1" applyBorder="1"/>
    <xf numFmtId="171" fontId="31" fillId="0" borderId="0" xfId="1" applyNumberFormat="1" applyFont="1" applyFill="1" applyBorder="1"/>
    <xf numFmtId="0" fontId="37" fillId="0" borderId="0" xfId="0" applyFont="1"/>
    <xf numFmtId="0" fontId="29" fillId="0" borderId="33" xfId="0" applyFont="1" applyBorder="1"/>
    <xf numFmtId="165" fontId="31" fillId="0" borderId="0" xfId="0" applyNumberFormat="1" applyFont="1"/>
    <xf numFmtId="9" fontId="29" fillId="0" borderId="0" xfId="0" applyNumberFormat="1" applyFont="1"/>
    <xf numFmtId="174" fontId="29" fillId="0" borderId="0" xfId="0" applyNumberFormat="1" applyFont="1"/>
    <xf numFmtId="167" fontId="31" fillId="0" borderId="0" xfId="1" applyNumberFormat="1" applyFont="1"/>
    <xf numFmtId="0" fontId="37" fillId="0" borderId="0" xfId="0" applyFont="1" applyAlignment="1">
      <alignment horizontal="left" indent="1"/>
    </xf>
    <xf numFmtId="167" fontId="31" fillId="0" borderId="34" xfId="1" applyNumberFormat="1" applyFont="1" applyBorder="1"/>
    <xf numFmtId="0" fontId="29" fillId="5" borderId="33" xfId="0" applyFont="1" applyFill="1" applyBorder="1"/>
    <xf numFmtId="167" fontId="31" fillId="5" borderId="34" xfId="1" applyNumberFormat="1" applyFont="1" applyFill="1" applyBorder="1"/>
    <xf numFmtId="0" fontId="29" fillId="0" borderId="35" xfId="0" applyFont="1" applyBorder="1"/>
    <xf numFmtId="167" fontId="31" fillId="0" borderId="36" xfId="1" applyNumberFormat="1" applyFont="1" applyBorder="1"/>
    <xf numFmtId="0" fontId="29" fillId="5" borderId="35" xfId="0" applyFont="1" applyFill="1" applyBorder="1"/>
    <xf numFmtId="168" fontId="31" fillId="5" borderId="36" xfId="0" applyNumberFormat="1" applyFont="1" applyFill="1" applyBorder="1"/>
    <xf numFmtId="0" fontId="29" fillId="5" borderId="0" xfId="0" applyFont="1" applyFill="1"/>
    <xf numFmtId="168" fontId="31" fillId="5" borderId="0" xfId="0" applyNumberFormat="1" applyFont="1" applyFill="1"/>
    <xf numFmtId="167" fontId="31" fillId="5" borderId="0" xfId="1" applyNumberFormat="1" applyFont="1" applyFill="1"/>
    <xf numFmtId="172" fontId="29" fillId="0" borderId="0" xfId="0" applyNumberFormat="1" applyFont="1"/>
    <xf numFmtId="0" fontId="38" fillId="2" borderId="0" xfId="0" applyFont="1" applyFill="1"/>
    <xf numFmtId="0" fontId="31" fillId="2" borderId="0" xfId="0" applyFont="1" applyFill="1"/>
    <xf numFmtId="0" fontId="31" fillId="3" borderId="0" xfId="0" applyFont="1" applyFill="1" applyAlignment="1">
      <alignment vertical="top" wrapText="1"/>
    </xf>
    <xf numFmtId="0" fontId="39" fillId="4" borderId="0" xfId="0" applyFont="1" applyFill="1"/>
    <xf numFmtId="0" fontId="31" fillId="0" borderId="27" xfId="0" applyFont="1" applyBorder="1"/>
    <xf numFmtId="0" fontId="32" fillId="2" borderId="0" xfId="0" applyFont="1" applyFill="1" applyAlignment="1">
      <alignment vertical="top" wrapText="1"/>
    </xf>
    <xf numFmtId="167" fontId="32" fillId="2" borderId="0" xfId="1" applyNumberFormat="1" applyFont="1" applyFill="1" applyAlignment="1">
      <alignment horizontal="right" vertical="top" wrapText="1"/>
    </xf>
    <xf numFmtId="167" fontId="31" fillId="2" borderId="0" xfId="1" applyNumberFormat="1" applyFont="1" applyFill="1"/>
    <xf numFmtId="167" fontId="31" fillId="3" borderId="0" xfId="1" applyNumberFormat="1" applyFont="1" applyFill="1" applyAlignment="1">
      <alignment horizontal="right" vertical="top" wrapText="1"/>
    </xf>
    <xf numFmtId="0" fontId="32" fillId="3" borderId="0" xfId="0" applyFont="1" applyFill="1"/>
    <xf numFmtId="0" fontId="31" fillId="2" borderId="0" xfId="0" applyFont="1" applyFill="1" applyAlignment="1">
      <alignment vertical="top" wrapText="1"/>
    </xf>
    <xf numFmtId="167" fontId="31" fillId="2" borderId="0" xfId="1" applyNumberFormat="1" applyFont="1" applyFill="1" applyAlignment="1">
      <alignment horizontal="right" vertical="top" wrapText="1"/>
    </xf>
    <xf numFmtId="167" fontId="32" fillId="2" borderId="0" xfId="1" applyNumberFormat="1" applyFont="1" applyFill="1"/>
    <xf numFmtId="0" fontId="32" fillId="2" borderId="0" xfId="0" applyFont="1" applyFill="1"/>
    <xf numFmtId="0" fontId="32" fillId="6" borderId="0" xfId="0" applyFont="1" applyFill="1"/>
    <xf numFmtId="0" fontId="31" fillId="6" borderId="0" xfId="0" applyFont="1" applyFill="1"/>
    <xf numFmtId="0" fontId="31" fillId="2" borderId="27" xfId="0" applyFont="1" applyFill="1" applyBorder="1"/>
    <xf numFmtId="167" fontId="35" fillId="4" borderId="0" xfId="1" applyNumberFormat="1" applyFont="1" applyFill="1" applyAlignment="1">
      <alignment horizontal="right" vertical="center" wrapText="1"/>
    </xf>
    <xf numFmtId="1" fontId="35" fillId="4" borderId="0" xfId="1" applyNumberFormat="1" applyFont="1" applyFill="1" applyAlignment="1">
      <alignment horizontal="right" vertical="center" wrapText="1"/>
    </xf>
    <xf numFmtId="0" fontId="32" fillId="2" borderId="27" xfId="0" applyFont="1" applyFill="1" applyBorder="1" applyAlignment="1">
      <alignment vertical="top" wrapText="1"/>
    </xf>
    <xf numFmtId="0" fontId="32" fillId="2" borderId="24" xfId="0" applyFont="1" applyFill="1" applyBorder="1"/>
    <xf numFmtId="167" fontId="32" fillId="2" borderId="0" xfId="1" applyNumberFormat="1" applyFont="1" applyFill="1" applyBorder="1" applyAlignment="1">
      <alignment horizontal="right" vertical="top" wrapText="1"/>
    </xf>
    <xf numFmtId="167" fontId="31" fillId="2" borderId="0" xfId="1" applyNumberFormat="1" applyFont="1" applyFill="1" applyBorder="1" applyAlignment="1">
      <alignment horizontal="right" vertical="top" wrapText="1"/>
    </xf>
    <xf numFmtId="167" fontId="31" fillId="2" borderId="0" xfId="1" applyNumberFormat="1" applyFont="1" applyFill="1" applyBorder="1"/>
    <xf numFmtId="0" fontId="32" fillId="2" borderId="23" xfId="0" applyFont="1" applyFill="1" applyBorder="1" applyAlignment="1">
      <alignment vertical="top" wrapText="1"/>
    </xf>
    <xf numFmtId="167" fontId="32" fillId="2" borderId="23" xfId="1" applyNumberFormat="1" applyFont="1" applyFill="1" applyBorder="1" applyAlignment="1">
      <alignment horizontal="right" vertical="top" wrapText="1"/>
    </xf>
    <xf numFmtId="0" fontId="31" fillId="2" borderId="23" xfId="0" applyFont="1" applyFill="1" applyBorder="1"/>
    <xf numFmtId="167" fontId="32" fillId="2" borderId="23" xfId="1" applyNumberFormat="1" applyFont="1" applyFill="1" applyBorder="1"/>
    <xf numFmtId="0" fontId="32" fillId="2" borderId="23" xfId="0" applyFont="1" applyFill="1" applyBorder="1"/>
    <xf numFmtId="167" fontId="37" fillId="2" borderId="0" xfId="1" applyNumberFormat="1" applyFont="1" applyFill="1" applyBorder="1" applyAlignment="1">
      <alignment horizontal="right" vertical="top" wrapText="1"/>
    </xf>
    <xf numFmtId="0" fontId="32" fillId="2" borderId="38" xfId="0" applyFont="1" applyFill="1" applyBorder="1" applyAlignment="1">
      <alignment vertical="top" wrapText="1"/>
    </xf>
    <xf numFmtId="167" fontId="32" fillId="2" borderId="38" xfId="1" applyNumberFormat="1" applyFont="1" applyFill="1" applyBorder="1" applyAlignment="1">
      <alignment horizontal="right" vertical="top" wrapText="1"/>
    </xf>
    <xf numFmtId="167" fontId="32" fillId="2" borderId="38" xfId="1" applyNumberFormat="1" applyFont="1" applyFill="1" applyBorder="1"/>
    <xf numFmtId="0" fontId="32" fillId="2" borderId="38" xfId="0" applyFont="1" applyFill="1" applyBorder="1"/>
    <xf numFmtId="167" fontId="32" fillId="2" borderId="0" xfId="1" applyNumberFormat="1" applyFont="1" applyFill="1" applyBorder="1"/>
    <xf numFmtId="167" fontId="35" fillId="4" borderId="0" xfId="0" applyNumberFormat="1" applyFont="1" applyFill="1" applyAlignment="1">
      <alignment horizontal="right" vertical="center" wrapText="1"/>
    </xf>
    <xf numFmtId="0" fontId="39" fillId="0" borderId="0" xfId="0" applyFont="1"/>
    <xf numFmtId="167" fontId="37" fillId="2" borderId="23" xfId="1" applyNumberFormat="1" applyFont="1" applyFill="1" applyBorder="1" applyAlignment="1">
      <alignment horizontal="right" vertical="top" wrapText="1"/>
    </xf>
    <xf numFmtId="0" fontId="37" fillId="2" borderId="23" xfId="0" applyFont="1" applyFill="1" applyBorder="1"/>
    <xf numFmtId="167" fontId="40" fillId="2" borderId="0" xfId="1" applyNumberFormat="1" applyFont="1" applyFill="1" applyAlignment="1">
      <alignment horizontal="right" vertical="top" wrapText="1"/>
    </xf>
    <xf numFmtId="0" fontId="37" fillId="2" borderId="0" xfId="0" applyFont="1" applyFill="1"/>
    <xf numFmtId="0" fontId="40" fillId="2" borderId="23" xfId="0" applyFont="1" applyFill="1" applyBorder="1"/>
    <xf numFmtId="0" fontId="40" fillId="2" borderId="0" xfId="0" applyFont="1" applyFill="1"/>
    <xf numFmtId="0" fontId="40" fillId="2" borderId="0" xfId="0" applyFont="1" applyFill="1" applyAlignment="1">
      <alignment vertical="top" wrapText="1"/>
    </xf>
    <xf numFmtId="167" fontId="40" fillId="2" borderId="0" xfId="1" applyNumberFormat="1" applyFont="1" applyFill="1" applyBorder="1" applyAlignment="1">
      <alignment horizontal="right" vertical="top" wrapText="1"/>
    </xf>
    <xf numFmtId="167" fontId="31" fillId="3" borderId="0" xfId="1" applyNumberFormat="1" applyFont="1" applyFill="1" applyBorder="1" applyAlignment="1">
      <alignment horizontal="left" vertical="top" wrapText="1"/>
    </xf>
    <xf numFmtId="167" fontId="40" fillId="3" borderId="0" xfId="1" applyNumberFormat="1" applyFont="1" applyFill="1" applyBorder="1" applyAlignment="1">
      <alignment horizontal="right" vertical="top" wrapText="1"/>
    </xf>
    <xf numFmtId="0" fontId="32" fillId="3" borderId="0" xfId="0" applyFont="1" applyFill="1" applyAlignment="1">
      <alignment vertical="top" wrapText="1"/>
    </xf>
    <xf numFmtId="166" fontId="31" fillId="2" borderId="27" xfId="1" applyFont="1" applyFill="1" applyBorder="1" applyAlignment="1">
      <alignment horizontal="right" vertical="top" wrapText="1"/>
    </xf>
    <xf numFmtId="167" fontId="35" fillId="4" borderId="0" xfId="1" applyNumberFormat="1" applyFont="1" applyFill="1" applyAlignment="1">
      <alignment horizontal="left" vertical="center" wrapText="1"/>
    </xf>
    <xf numFmtId="0" fontId="37" fillId="2" borderId="0" xfId="0" applyFont="1" applyFill="1" applyAlignment="1">
      <alignment vertical="top" wrapText="1"/>
    </xf>
    <xf numFmtId="0" fontId="35" fillId="4" borderId="0" xfId="0" applyFont="1" applyFill="1" applyAlignment="1">
      <alignment horizontal="right" vertical="center" wrapText="1"/>
    </xf>
    <xf numFmtId="2" fontId="31" fillId="2" borderId="0" xfId="0" applyNumberFormat="1" applyFont="1" applyFill="1" applyAlignment="1">
      <alignment horizontal="right" vertical="center" wrapText="1"/>
    </xf>
    <xf numFmtId="1" fontId="31" fillId="2" borderId="0" xfId="0" applyNumberFormat="1" applyFont="1" applyFill="1" applyAlignment="1">
      <alignment horizontal="right" vertical="center" wrapText="1"/>
    </xf>
    <xf numFmtId="1" fontId="32" fillId="2" borderId="0" xfId="0" applyNumberFormat="1" applyFont="1" applyFill="1" applyAlignment="1">
      <alignment horizontal="right" vertical="center" wrapText="1"/>
    </xf>
    <xf numFmtId="170" fontId="31" fillId="2" borderId="0" xfId="1" applyNumberFormat="1" applyFont="1" applyFill="1" applyAlignment="1">
      <alignment horizontal="right" vertical="top" wrapText="1"/>
    </xf>
    <xf numFmtId="166" fontId="31" fillId="2" borderId="0" xfId="1" applyFont="1" applyFill="1" applyAlignment="1">
      <alignment horizontal="right" vertical="top" wrapText="1"/>
    </xf>
    <xf numFmtId="166" fontId="31" fillId="2" borderId="0" xfId="0" applyNumberFormat="1" applyFont="1" applyFill="1" applyAlignment="1">
      <alignment horizontal="right" vertical="top" wrapText="1"/>
    </xf>
    <xf numFmtId="9" fontId="31" fillId="0" borderId="0" xfId="2" applyFont="1" applyFill="1"/>
    <xf numFmtId="179" fontId="0" fillId="0" borderId="0" xfId="0" applyNumberFormat="1"/>
    <xf numFmtId="0" fontId="29" fillId="0" borderId="1" xfId="0" applyFont="1" applyBorder="1"/>
    <xf numFmtId="9" fontId="31" fillId="0" borderId="1" xfId="2" applyFont="1" applyBorder="1"/>
    <xf numFmtId="166" fontId="31" fillId="0" borderId="1" xfId="1" applyFont="1" applyBorder="1"/>
    <xf numFmtId="9" fontId="29" fillId="0" borderId="0" xfId="2" applyFont="1" applyBorder="1"/>
    <xf numFmtId="9" fontId="29" fillId="0" borderId="1" xfId="0" applyNumberFormat="1" applyFont="1" applyBorder="1"/>
    <xf numFmtId="9" fontId="29" fillId="0" borderId="29" xfId="0" applyNumberFormat="1" applyFont="1" applyBorder="1"/>
    <xf numFmtId="0" fontId="36" fillId="0" borderId="40" xfId="0" applyFont="1" applyBorder="1" applyAlignment="1">
      <alignment horizontal="left"/>
    </xf>
    <xf numFmtId="0" fontId="37" fillId="0" borderId="41" xfId="0" applyFont="1" applyBorder="1" applyAlignment="1">
      <alignment horizontal="center"/>
    </xf>
    <xf numFmtId="0" fontId="37" fillId="0" borderId="25" xfId="0" applyFont="1" applyBorder="1"/>
    <xf numFmtId="0" fontId="33" fillId="0" borderId="11" xfId="0" applyFont="1" applyBorder="1"/>
    <xf numFmtId="0" fontId="33" fillId="0" borderId="39" xfId="0" applyFont="1" applyBorder="1"/>
    <xf numFmtId="0" fontId="21" fillId="0" borderId="0" xfId="0" applyFont="1" applyAlignment="1">
      <alignment horizontal="left"/>
    </xf>
    <xf numFmtId="176" fontId="0" fillId="0" borderId="0" xfId="0" applyNumberFormat="1"/>
    <xf numFmtId="176" fontId="14" fillId="0" borderId="0" xfId="0" applyNumberFormat="1" applyFont="1"/>
    <xf numFmtId="0" fontId="17" fillId="0" borderId="0" xfId="0" applyFont="1" applyAlignment="1">
      <alignment horizontal="center"/>
    </xf>
    <xf numFmtId="168" fontId="15" fillId="0" borderId="0" xfId="0" applyNumberFormat="1" applyFont="1"/>
    <xf numFmtId="167" fontId="5" fillId="3" borderId="0" xfId="0" applyNumberFormat="1" applyFont="1" applyFill="1"/>
    <xf numFmtId="167" fontId="6" fillId="3" borderId="0" xfId="0" applyNumberFormat="1" applyFont="1" applyFill="1"/>
    <xf numFmtId="167" fontId="5" fillId="3" borderId="23" xfId="1" applyNumberFormat="1" applyFont="1" applyFill="1" applyBorder="1" applyAlignment="1">
      <alignment horizontal="right" vertical="top" wrapText="1"/>
    </xf>
    <xf numFmtId="166" fontId="31" fillId="0" borderId="0" xfId="1" applyFont="1" applyFill="1" applyBorder="1"/>
    <xf numFmtId="168" fontId="31" fillId="0" borderId="0" xfId="2" applyNumberFormat="1" applyFont="1" applyFill="1" applyBorder="1"/>
    <xf numFmtId="169" fontId="41" fillId="7" borderId="2" xfId="0" applyNumberFormat="1" applyFont="1" applyFill="1" applyBorder="1"/>
    <xf numFmtId="0" fontId="42" fillId="0" borderId="0" xfId="0" applyFont="1"/>
    <xf numFmtId="0" fontId="42" fillId="0" borderId="0" xfId="0" applyFont="1" applyAlignment="1">
      <alignment wrapText="1"/>
    </xf>
    <xf numFmtId="0" fontId="42" fillId="0" borderId="3" xfId="0" applyFont="1" applyBorder="1"/>
    <xf numFmtId="0" fontId="42" fillId="0" borderId="4" xfId="0" applyFont="1" applyBorder="1"/>
    <xf numFmtId="0" fontId="42" fillId="0" borderId="5" xfId="0" applyFont="1" applyBorder="1"/>
    <xf numFmtId="0" fontId="43" fillId="8" borderId="42" xfId="0" applyFont="1" applyFill="1" applyBorder="1"/>
    <xf numFmtId="0" fontId="42" fillId="0" borderId="28" xfId="0" applyFont="1" applyBorder="1"/>
    <xf numFmtId="0" fontId="42" fillId="0" borderId="7" xfId="0" applyFont="1" applyBorder="1"/>
    <xf numFmtId="0" fontId="43" fillId="9" borderId="6" xfId="0" applyFont="1" applyFill="1" applyBorder="1"/>
    <xf numFmtId="0" fontId="42" fillId="0" borderId="2" xfId="0" applyFont="1" applyBorder="1"/>
    <xf numFmtId="0" fontId="43" fillId="10" borderId="6" xfId="0" applyFont="1" applyFill="1" applyBorder="1"/>
    <xf numFmtId="0" fontId="43" fillId="11" borderId="6" xfId="0" applyFont="1" applyFill="1" applyBorder="1"/>
    <xf numFmtId="0" fontId="43" fillId="12" borderId="43" xfId="0" applyFont="1" applyFill="1" applyBorder="1"/>
    <xf numFmtId="0" fontId="42" fillId="0" borderId="30" xfId="0" applyFont="1" applyBorder="1"/>
    <xf numFmtId="0" fontId="43" fillId="0" borderId="6" xfId="0" applyFont="1" applyBorder="1"/>
    <xf numFmtId="0" fontId="43" fillId="0" borderId="44" xfId="0" applyFont="1" applyBorder="1"/>
    <xf numFmtId="0" fontId="43" fillId="0" borderId="32" xfId="0" applyFont="1" applyBorder="1"/>
    <xf numFmtId="9" fontId="42" fillId="0" borderId="13" xfId="0" applyNumberFormat="1" applyFont="1" applyBorder="1"/>
    <xf numFmtId="180" fontId="42" fillId="0" borderId="12" xfId="0" applyNumberFormat="1" applyFont="1" applyBorder="1"/>
    <xf numFmtId="9" fontId="42" fillId="0" borderId="12" xfId="2" applyFont="1" applyBorder="1"/>
    <xf numFmtId="9" fontId="42" fillId="0" borderId="12" xfId="0" applyNumberFormat="1" applyFont="1" applyBorder="1"/>
    <xf numFmtId="9" fontId="42" fillId="0" borderId="31" xfId="0" applyNumberFormat="1" applyFont="1" applyBorder="1"/>
    <xf numFmtId="169" fontId="42" fillId="0" borderId="31" xfId="0" applyNumberFormat="1" applyFont="1" applyBorder="1"/>
    <xf numFmtId="0" fontId="44" fillId="0" borderId="43" xfId="0" applyFont="1" applyBorder="1"/>
    <xf numFmtId="168" fontId="41" fillId="7" borderId="2" xfId="2" applyNumberFormat="1" applyFont="1" applyFill="1" applyBorder="1"/>
    <xf numFmtId="0" fontId="42" fillId="0" borderId="8" xfId="0" applyFont="1" applyBorder="1"/>
    <xf numFmtId="0" fontId="42" fillId="0" borderId="9" xfId="0" applyFont="1" applyBorder="1"/>
    <xf numFmtId="0" fontId="42" fillId="0" borderId="10" xfId="0" applyFont="1" applyBorder="1"/>
    <xf numFmtId="9" fontId="45" fillId="0" borderId="0" xfId="0" applyNumberFormat="1" applyFont="1"/>
    <xf numFmtId="0" fontId="41" fillId="7" borderId="3" xfId="0" applyFont="1" applyFill="1" applyBorder="1"/>
    <xf numFmtId="0" fontId="43" fillId="0" borderId="45" xfId="0" applyFont="1" applyBorder="1"/>
    <xf numFmtId="0" fontId="43" fillId="0" borderId="5" xfId="0" applyFont="1" applyBorder="1"/>
    <xf numFmtId="0" fontId="42" fillId="0" borderId="6" xfId="0" applyFont="1" applyBorder="1" applyAlignment="1">
      <alignment wrapText="1"/>
    </xf>
    <xf numFmtId="0" fontId="42" fillId="0" borderId="12" xfId="0" applyFont="1" applyBorder="1"/>
    <xf numFmtId="0" fontId="43" fillId="0" borderId="8" xfId="0" applyFont="1" applyBorder="1" applyAlignment="1">
      <alignment wrapText="1"/>
    </xf>
    <xf numFmtId="0" fontId="43" fillId="0" borderId="19" xfId="0" applyFont="1" applyBorder="1"/>
    <xf numFmtId="169" fontId="43" fillId="0" borderId="10" xfId="0" applyNumberFormat="1" applyFont="1" applyBorder="1"/>
    <xf numFmtId="0" fontId="43" fillId="0" borderId="45" xfId="0" applyFont="1" applyBorder="1" applyAlignment="1">
      <alignment wrapText="1"/>
    </xf>
    <xf numFmtId="0" fontId="43" fillId="0" borderId="46" xfId="0" applyFont="1" applyBorder="1"/>
    <xf numFmtId="0" fontId="43" fillId="0" borderId="0" xfId="0" applyFont="1"/>
    <xf numFmtId="0" fontId="43" fillId="0" borderId="0" xfId="0" applyFont="1" applyAlignment="1">
      <alignment wrapText="1"/>
    </xf>
    <xf numFmtId="0" fontId="42" fillId="0" borderId="6" xfId="0" applyFont="1" applyBorder="1"/>
    <xf numFmtId="9" fontId="42" fillId="13" borderId="12" xfId="0" applyNumberFormat="1" applyFont="1" applyFill="1" applyBorder="1"/>
    <xf numFmtId="166" fontId="42" fillId="0" borderId="18" xfId="1" applyFont="1" applyBorder="1"/>
    <xf numFmtId="181" fontId="43" fillId="0" borderId="12" xfId="1" applyNumberFormat="1" applyFont="1" applyBorder="1"/>
    <xf numFmtId="182" fontId="42" fillId="0" borderId="12" xfId="1" applyNumberFormat="1" applyFont="1" applyBorder="1"/>
    <xf numFmtId="166" fontId="42" fillId="0" borderId="0" xfId="1" applyFont="1"/>
    <xf numFmtId="181" fontId="42" fillId="0" borderId="12" xfId="1" applyNumberFormat="1" applyFont="1" applyBorder="1"/>
    <xf numFmtId="181" fontId="42" fillId="0" borderId="12" xfId="2" applyNumberFormat="1" applyFont="1" applyBorder="1"/>
    <xf numFmtId="0" fontId="42" fillId="0" borderId="31" xfId="0" applyFont="1" applyBorder="1"/>
    <xf numFmtId="0" fontId="42" fillId="0" borderId="18" xfId="0" applyFont="1" applyBorder="1"/>
    <xf numFmtId="0" fontId="43" fillId="0" borderId="8" xfId="0" applyFont="1" applyBorder="1"/>
    <xf numFmtId="9" fontId="43" fillId="0" borderId="47" xfId="2" applyFont="1" applyBorder="1"/>
    <xf numFmtId="0" fontId="42" fillId="0" borderId="48" xfId="0" applyFont="1" applyBorder="1"/>
    <xf numFmtId="182" fontId="43" fillId="0" borderId="47" xfId="2" applyNumberFormat="1" applyFont="1" applyBorder="1"/>
    <xf numFmtId="9" fontId="42" fillId="0" borderId="48" xfId="0" applyNumberFormat="1" applyFont="1" applyBorder="1"/>
    <xf numFmtId="180" fontId="43" fillId="0" borderId="49" xfId="0" applyNumberFormat="1" applyFont="1" applyBorder="1"/>
    <xf numFmtId="9" fontId="43" fillId="0" borderId="0" xfId="0" applyNumberFormat="1" applyFont="1"/>
    <xf numFmtId="0" fontId="43" fillId="0" borderId="50" xfId="0" applyFont="1" applyBorder="1"/>
    <xf numFmtId="0" fontId="42" fillId="0" borderId="16" xfId="0" applyFont="1" applyBorder="1"/>
    <xf numFmtId="0" fontId="42" fillId="0" borderId="51" xfId="0" applyFont="1" applyBorder="1"/>
    <xf numFmtId="0" fontId="42" fillId="0" borderId="52" xfId="0" applyFont="1" applyBorder="1"/>
    <xf numFmtId="0" fontId="42" fillId="0" borderId="17" xfId="0" applyFont="1" applyBorder="1"/>
    <xf numFmtId="0" fontId="42" fillId="0" borderId="53" xfId="0" applyFont="1" applyBorder="1"/>
    <xf numFmtId="0" fontId="41" fillId="7" borderId="54" xfId="0" applyFont="1" applyFill="1" applyBorder="1"/>
    <xf numFmtId="0" fontId="43" fillId="0" borderId="14" xfId="0" applyFont="1" applyBorder="1" applyAlignment="1">
      <alignment wrapText="1"/>
    </xf>
    <xf numFmtId="0" fontId="43" fillId="0" borderId="14" xfId="0" applyFont="1" applyBorder="1"/>
    <xf numFmtId="0" fontId="43" fillId="0" borderId="16" xfId="0" applyFont="1" applyBorder="1" applyAlignment="1">
      <alignment wrapText="1"/>
    </xf>
    <xf numFmtId="9" fontId="42" fillId="13" borderId="13" xfId="0" applyNumberFormat="1" applyFont="1" applyFill="1" applyBorder="1"/>
    <xf numFmtId="182" fontId="42" fillId="0" borderId="26" xfId="1" applyNumberFormat="1" applyFont="1" applyBorder="1" applyAlignment="1">
      <alignment wrapText="1"/>
    </xf>
    <xf numFmtId="181" fontId="42" fillId="0" borderId="55" xfId="1" applyNumberFormat="1" applyFont="1" applyBorder="1" applyAlignment="1">
      <alignment wrapText="1"/>
    </xf>
    <xf numFmtId="0" fontId="42" fillId="0" borderId="54" xfId="0" applyFont="1" applyBorder="1"/>
    <xf numFmtId="0" fontId="42" fillId="0" borderId="56" xfId="0" applyFont="1" applyBorder="1"/>
    <xf numFmtId="9" fontId="42" fillId="13" borderId="31" xfId="0" applyNumberFormat="1" applyFont="1" applyFill="1" applyBorder="1"/>
    <xf numFmtId="182" fontId="42" fillId="0" borderId="29" xfId="1" applyNumberFormat="1" applyFont="1" applyBorder="1" applyAlignment="1">
      <alignment wrapText="1"/>
    </xf>
    <xf numFmtId="181" fontId="42" fillId="0" borderId="18" xfId="1" applyNumberFormat="1" applyFont="1" applyBorder="1" applyAlignment="1">
      <alignment wrapText="1"/>
    </xf>
    <xf numFmtId="182" fontId="42" fillId="0" borderId="26" xfId="1" applyNumberFormat="1" applyFont="1" applyBorder="1"/>
    <xf numFmtId="182" fontId="42" fillId="0" borderId="29" xfId="1" applyNumberFormat="1" applyFont="1" applyBorder="1"/>
    <xf numFmtId="181" fontId="42" fillId="0" borderId="57" xfId="1" applyNumberFormat="1" applyFont="1" applyBorder="1" applyAlignment="1">
      <alignment wrapText="1"/>
    </xf>
    <xf numFmtId="168" fontId="42" fillId="0" borderId="31" xfId="0" applyNumberFormat="1" applyFont="1" applyBorder="1"/>
    <xf numFmtId="0" fontId="42" fillId="0" borderId="58" xfId="0" applyFont="1" applyBorder="1"/>
    <xf numFmtId="9" fontId="42" fillId="13" borderId="47" xfId="0" applyNumberFormat="1" applyFont="1" applyFill="1" applyBorder="1"/>
    <xf numFmtId="0" fontId="42" fillId="0" borderId="19" xfId="0" applyFont="1" applyBorder="1"/>
    <xf numFmtId="9" fontId="43" fillId="0" borderId="12" xfId="2" applyFont="1" applyBorder="1"/>
    <xf numFmtId="166" fontId="43" fillId="0" borderId="20" xfId="1" applyFont="1" applyBorder="1" applyAlignment="1">
      <alignment wrapText="1"/>
    </xf>
    <xf numFmtId="0" fontId="41" fillId="7" borderId="59" xfId="0" applyFont="1" applyFill="1" applyBorder="1"/>
    <xf numFmtId="9" fontId="41" fillId="7" borderId="60" xfId="0" applyNumberFormat="1" applyFont="1" applyFill="1" applyBorder="1" applyAlignment="1">
      <alignment wrapText="1"/>
    </xf>
    <xf numFmtId="0" fontId="41" fillId="7" borderId="60" xfId="0" applyFont="1" applyFill="1" applyBorder="1" applyAlignment="1">
      <alignment wrapText="1"/>
    </xf>
    <xf numFmtId="0" fontId="41" fillId="7" borderId="61" xfId="0" applyFont="1" applyFill="1" applyBorder="1"/>
    <xf numFmtId="0" fontId="41" fillId="7" borderId="62" xfId="0" applyFont="1" applyFill="1" applyBorder="1" applyAlignment="1">
      <alignment wrapText="1"/>
    </xf>
    <xf numFmtId="0" fontId="42" fillId="0" borderId="42" xfId="0" applyFont="1" applyBorder="1"/>
    <xf numFmtId="168" fontId="42" fillId="0" borderId="13" xfId="0" applyNumberFormat="1" applyFont="1" applyBorder="1"/>
    <xf numFmtId="0" fontId="42" fillId="0" borderId="13" xfId="0" applyFont="1" applyBorder="1"/>
    <xf numFmtId="0" fontId="42" fillId="0" borderId="55" xfId="0" applyFont="1" applyBorder="1"/>
    <xf numFmtId="9" fontId="42" fillId="13" borderId="12" xfId="2" applyFont="1" applyFill="1" applyBorder="1"/>
    <xf numFmtId="10" fontId="42" fillId="0" borderId="12" xfId="0" applyNumberFormat="1" applyFont="1" applyBorder="1"/>
    <xf numFmtId="169" fontId="42" fillId="0" borderId="12" xfId="0" applyNumberFormat="1" applyFont="1" applyBorder="1"/>
    <xf numFmtId="0" fontId="43" fillId="0" borderId="12" xfId="0" applyFont="1" applyBorder="1"/>
    <xf numFmtId="166" fontId="43" fillId="0" borderId="18" xfId="1" applyFont="1" applyBorder="1"/>
    <xf numFmtId="0" fontId="43" fillId="0" borderId="20" xfId="0" applyFont="1" applyBorder="1"/>
    <xf numFmtId="0" fontId="43" fillId="0" borderId="3" xfId="0" applyFont="1" applyBorder="1"/>
    <xf numFmtId="0" fontId="43" fillId="0" borderId="7" xfId="0" applyFont="1" applyBorder="1"/>
    <xf numFmtId="0" fontId="42" fillId="0" borderId="6" xfId="0" applyFont="1" applyBorder="1" applyAlignment="1">
      <alignment horizontal="left"/>
    </xf>
    <xf numFmtId="0" fontId="42" fillId="0" borderId="10" xfId="0" applyFont="1" applyBorder="1" applyAlignment="1">
      <alignment wrapText="1"/>
    </xf>
    <xf numFmtId="0" fontId="43" fillId="0" borderId="21" xfId="0" applyFont="1" applyBorder="1"/>
    <xf numFmtId="0" fontId="43" fillId="0" borderId="15" xfId="0" applyFont="1" applyBorder="1"/>
    <xf numFmtId="0" fontId="43" fillId="0" borderId="4" xfId="0" applyFont="1" applyBorder="1"/>
    <xf numFmtId="0" fontId="43" fillId="0" borderId="22" xfId="0" applyFont="1" applyBorder="1"/>
    <xf numFmtId="0" fontId="42" fillId="0" borderId="8" xfId="0" applyFont="1" applyBorder="1" applyAlignment="1">
      <alignment wrapText="1"/>
    </xf>
    <xf numFmtId="9" fontId="42" fillId="0" borderId="9" xfId="0" applyNumberFormat="1" applyFont="1" applyBorder="1"/>
    <xf numFmtId="17" fontId="35" fillId="4" borderId="0" xfId="0" applyNumberFormat="1" applyFont="1" applyFill="1" applyAlignment="1">
      <alignment horizontal="right"/>
    </xf>
    <xf numFmtId="9" fontId="29" fillId="0" borderId="1" xfId="2" applyFont="1" applyBorder="1"/>
    <xf numFmtId="0" fontId="4" fillId="4" borderId="0" xfId="2" applyNumberFormat="1" applyFont="1" applyFill="1"/>
    <xf numFmtId="3" fontId="10" fillId="3" borderId="0" xfId="0" applyNumberFormat="1" applyFont="1" applyFill="1"/>
    <xf numFmtId="0" fontId="28" fillId="4" borderId="0" xfId="0" applyFont="1" applyFill="1" applyAlignment="1">
      <alignment horizontal="right" vertical="center" wrapText="1"/>
    </xf>
    <xf numFmtId="0" fontId="28" fillId="4" borderId="0" xfId="0" applyFont="1" applyFill="1" applyAlignment="1">
      <alignment horizontal="right"/>
    </xf>
    <xf numFmtId="167" fontId="6" fillId="3" borderId="0" xfId="1" applyNumberFormat="1" applyFont="1" applyFill="1" applyAlignment="1">
      <alignment vertical="top" wrapText="1"/>
    </xf>
    <xf numFmtId="167" fontId="5" fillId="3" borderId="0" xfId="1" applyNumberFormat="1" applyFont="1" applyFill="1" applyAlignment="1">
      <alignment vertical="top" wrapText="1"/>
    </xf>
    <xf numFmtId="167" fontId="4" fillId="4" borderId="0" xfId="1" applyNumberFormat="1" applyFont="1" applyFill="1" applyAlignment="1">
      <alignment vertical="top" wrapText="1"/>
    </xf>
    <xf numFmtId="167" fontId="5" fillId="2" borderId="0" xfId="1" applyNumberFormat="1" applyFont="1" applyFill="1" applyAlignment="1">
      <alignment vertical="top" wrapText="1"/>
    </xf>
    <xf numFmtId="167" fontId="32" fillId="0" borderId="0" xfId="0" applyNumberFormat="1" applyFont="1"/>
    <xf numFmtId="0" fontId="3" fillId="0" borderId="0" xfId="0" applyFont="1"/>
    <xf numFmtId="173" fontId="32" fillId="0" borderId="0" xfId="0" applyNumberFormat="1" applyFont="1"/>
    <xf numFmtId="179" fontId="32" fillId="0" borderId="0" xfId="0" applyNumberFormat="1" applyFont="1"/>
    <xf numFmtId="0" fontId="2" fillId="0" borderId="0" xfId="0" applyFont="1"/>
    <xf numFmtId="0" fontId="4" fillId="4" borderId="0" xfId="0" applyFont="1" applyFill="1" applyAlignment="1">
      <alignment vertical="center" wrapText="1"/>
    </xf>
    <xf numFmtId="0" fontId="4" fillId="0" borderId="0" xfId="0" applyFont="1"/>
    <xf numFmtId="0" fontId="11" fillId="0" borderId="0" xfId="0" applyFont="1"/>
    <xf numFmtId="167" fontId="4" fillId="0" borderId="0" xfId="0" applyNumberFormat="1" applyFont="1" applyAlignment="1">
      <alignment vertical="top" wrapText="1"/>
    </xf>
    <xf numFmtId="0" fontId="4" fillId="0" borderId="0" xfId="0" applyFont="1" applyAlignment="1">
      <alignment vertical="top" wrapText="1"/>
    </xf>
    <xf numFmtId="0" fontId="5" fillId="0" borderId="0" xfId="0" applyFont="1"/>
    <xf numFmtId="167" fontId="6" fillId="0" borderId="0" xfId="1" applyNumberFormat="1" applyFont="1" applyFill="1" applyBorder="1" applyAlignment="1">
      <alignment horizontal="right" vertical="top" wrapText="1"/>
    </xf>
    <xf numFmtId="0" fontId="6" fillId="0" borderId="0" xfId="0" applyFont="1"/>
    <xf numFmtId="166" fontId="6" fillId="0" borderId="0" xfId="1" applyFont="1" applyFill="1" applyBorder="1" applyAlignment="1">
      <alignment horizontal="right" vertical="top" wrapText="1"/>
    </xf>
    <xf numFmtId="167" fontId="12" fillId="0" borderId="0" xfId="1" applyNumberFormat="1" applyFont="1" applyFill="1" applyBorder="1" applyAlignment="1">
      <alignment horizontal="right" vertical="top" wrapText="1"/>
    </xf>
    <xf numFmtId="167" fontId="10" fillId="0" borderId="0" xfId="1" applyNumberFormat="1" applyFont="1" applyFill="1" applyBorder="1" applyAlignment="1">
      <alignment horizontal="right" vertical="top" wrapText="1"/>
    </xf>
    <xf numFmtId="167" fontId="5" fillId="0" borderId="0" xfId="1" applyNumberFormat="1" applyFont="1" applyFill="1" applyBorder="1" applyAlignment="1">
      <alignment horizontal="right" vertical="top" wrapText="1"/>
    </xf>
    <xf numFmtId="166" fontId="5" fillId="0" borderId="0" xfId="1" applyFont="1" applyFill="1" applyBorder="1" applyAlignment="1">
      <alignment horizontal="right" vertical="top" wrapText="1"/>
    </xf>
    <xf numFmtId="167" fontId="5" fillId="0" borderId="0" xfId="0" applyNumberFormat="1" applyFont="1"/>
    <xf numFmtId="167" fontId="10" fillId="3" borderId="0" xfId="1" applyNumberFormat="1" applyFont="1" applyFill="1" applyBorder="1"/>
    <xf numFmtId="0" fontId="5" fillId="2" borderId="0" xfId="2" applyNumberFormat="1" applyFont="1" applyFill="1" applyAlignment="1">
      <alignment horizontal="right" vertical="center" wrapText="1"/>
    </xf>
    <xf numFmtId="9" fontId="47" fillId="0" borderId="30" xfId="0" applyNumberFormat="1" applyFont="1" applyBorder="1"/>
    <xf numFmtId="168" fontId="48" fillId="0" borderId="0" xfId="0" applyNumberFormat="1" applyFont="1"/>
    <xf numFmtId="3" fontId="0" fillId="0" borderId="0" xfId="0" applyNumberFormat="1"/>
    <xf numFmtId="0" fontId="13" fillId="0" borderId="0" xfId="0" applyFont="1" applyAlignment="1">
      <alignment horizontal="right"/>
    </xf>
    <xf numFmtId="167" fontId="0" fillId="0" borderId="0" xfId="0" applyNumberFormat="1"/>
    <xf numFmtId="9" fontId="0" fillId="0" borderId="0" xfId="2" applyFont="1"/>
    <xf numFmtId="9" fontId="5" fillId="3" borderId="0" xfId="2" applyFont="1" applyFill="1" applyAlignment="1">
      <alignment vertical="top" wrapText="1"/>
    </xf>
    <xf numFmtId="168" fontId="31" fillId="2" borderId="0" xfId="2" applyNumberFormat="1" applyFont="1" applyFill="1"/>
    <xf numFmtId="3" fontId="5" fillId="3" borderId="0" xfId="0" applyNumberFormat="1" applyFont="1" applyFill="1"/>
    <xf numFmtId="166" fontId="31" fillId="0" borderId="0" xfId="1" applyFont="1" applyFill="1"/>
    <xf numFmtId="168" fontId="31" fillId="0" borderId="0" xfId="2" applyNumberFormat="1" applyFont="1" applyFill="1"/>
    <xf numFmtId="2" fontId="31" fillId="0" borderId="0" xfId="0" applyNumberFormat="1" applyFont="1"/>
    <xf numFmtId="167" fontId="31" fillId="0" borderId="0" xfId="0" applyNumberFormat="1" applyFont="1"/>
    <xf numFmtId="167" fontId="6" fillId="14" borderId="0" xfId="1" applyNumberFormat="1" applyFont="1" applyFill="1" applyBorder="1" applyAlignment="1">
      <alignment horizontal="right" vertical="top" wrapText="1"/>
    </xf>
    <xf numFmtId="9" fontId="31" fillId="3" borderId="0" xfId="2" applyFont="1" applyFill="1"/>
    <xf numFmtId="166" fontId="31" fillId="5" borderId="36" xfId="1" applyFont="1" applyFill="1" applyBorder="1"/>
    <xf numFmtId="10" fontId="32" fillId="2" borderId="0" xfId="1" applyNumberFormat="1" applyFont="1" applyFill="1"/>
    <xf numFmtId="0" fontId="37" fillId="0" borderId="0" xfId="0" applyFont="1" applyAlignment="1">
      <alignment horizontal="left"/>
    </xf>
    <xf numFmtId="166" fontId="5" fillId="2" borderId="0" xfId="0" applyNumberFormat="1" applyFont="1" applyFill="1"/>
    <xf numFmtId="165" fontId="31" fillId="0" borderId="1" xfId="0" applyNumberFormat="1" applyFont="1" applyBorder="1"/>
    <xf numFmtId="0" fontId="29" fillId="0" borderId="12" xfId="0" applyFont="1" applyBorder="1"/>
    <xf numFmtId="165" fontId="31" fillId="0" borderId="12" xfId="0" applyNumberFormat="1" applyFont="1" applyBorder="1"/>
    <xf numFmtId="9" fontId="29" fillId="0" borderId="12" xfId="0" applyNumberFormat="1" applyFont="1" applyBorder="1"/>
    <xf numFmtId="0" fontId="37" fillId="0" borderId="12" xfId="0" applyFont="1" applyBorder="1" applyAlignment="1">
      <alignment horizontal="center"/>
    </xf>
    <xf numFmtId="174" fontId="31" fillId="0" borderId="12" xfId="0" applyNumberFormat="1" applyFont="1" applyBorder="1"/>
    <xf numFmtId="0" fontId="33" fillId="0" borderId="25" xfId="0" applyFont="1" applyBorder="1"/>
    <xf numFmtId="0" fontId="33" fillId="0" borderId="32" xfId="0" applyFont="1" applyBorder="1"/>
    <xf numFmtId="9" fontId="31" fillId="0" borderId="0" xfId="0" applyNumberFormat="1" applyFont="1"/>
    <xf numFmtId="4" fontId="31" fillId="0" borderId="0" xfId="2" applyNumberFormat="1" applyFont="1"/>
    <xf numFmtId="9" fontId="29" fillId="0" borderId="31" xfId="0" applyNumberFormat="1" applyFont="1" applyBorder="1"/>
    <xf numFmtId="9" fontId="29" fillId="0" borderId="12" xfId="2" applyFont="1" applyFill="1" applyBorder="1"/>
    <xf numFmtId="43" fontId="0" fillId="0" borderId="0" xfId="0" applyNumberFormat="1"/>
    <xf numFmtId="10" fontId="0" fillId="0" borderId="0" xfId="0" applyNumberFormat="1"/>
    <xf numFmtId="167" fontId="29" fillId="0" borderId="0" xfId="1" applyNumberFormat="1" applyFont="1" applyAlignment="1">
      <alignment horizontal="right"/>
    </xf>
    <xf numFmtId="3" fontId="29" fillId="0" borderId="0" xfId="0" applyNumberFormat="1" applyFont="1"/>
    <xf numFmtId="0" fontId="31" fillId="14" borderId="0" xfId="0" applyFont="1" applyFill="1"/>
    <xf numFmtId="2" fontId="31" fillId="0" borderId="0" xfId="2" applyNumberFormat="1" applyFont="1"/>
    <xf numFmtId="167" fontId="31" fillId="14" borderId="0" xfId="1" applyNumberFormat="1" applyFont="1" applyFill="1" applyBorder="1"/>
    <xf numFmtId="2" fontId="0" fillId="0" borderId="0" xfId="0" applyNumberFormat="1"/>
    <xf numFmtId="9" fontId="29" fillId="0" borderId="0" xfId="1" applyNumberFormat="1" applyFont="1" applyAlignment="1">
      <alignment horizontal="right"/>
    </xf>
    <xf numFmtId="43" fontId="31" fillId="2" borderId="0" xfId="1" applyNumberFormat="1" applyFont="1" applyFill="1"/>
    <xf numFmtId="184" fontId="23" fillId="0" borderId="0" xfId="0" applyNumberFormat="1" applyFont="1"/>
    <xf numFmtId="10" fontId="29" fillId="0" borderId="0" xfId="0" applyNumberFormat="1" applyFont="1"/>
    <xf numFmtId="9" fontId="31" fillId="0" borderId="12" xfId="2" applyFont="1" applyFill="1" applyBorder="1"/>
    <xf numFmtId="9" fontId="29" fillId="0" borderId="23" xfId="0" applyNumberFormat="1" applyFont="1" applyBorder="1"/>
    <xf numFmtId="167" fontId="31" fillId="0" borderId="36" xfId="1" applyNumberFormat="1" applyFont="1" applyFill="1" applyBorder="1"/>
    <xf numFmtId="167" fontId="31" fillId="0" borderId="0" xfId="1" applyNumberFormat="1" applyFont="1" applyFill="1"/>
    <xf numFmtId="185" fontId="29" fillId="0" borderId="0" xfId="0" applyNumberFormat="1" applyFont="1"/>
    <xf numFmtId="183" fontId="31" fillId="0" borderId="0" xfId="0" applyNumberFormat="1" applyFont="1" applyAlignment="1">
      <alignment horizontal="left"/>
    </xf>
    <xf numFmtId="4" fontId="29" fillId="0" borderId="0" xfId="0" applyNumberFormat="1" applyFont="1" applyAlignment="1">
      <alignment horizontal="left"/>
    </xf>
    <xf numFmtId="185" fontId="29" fillId="0" borderId="0" xfId="0" applyNumberFormat="1" applyFont="1" applyAlignment="1">
      <alignment horizontal="left"/>
    </xf>
    <xf numFmtId="164" fontId="29" fillId="0" borderId="0" xfId="0" applyNumberFormat="1" applyFont="1" applyAlignment="1">
      <alignment horizontal="left"/>
    </xf>
    <xf numFmtId="3" fontId="29" fillId="0" borderId="0" xfId="0" applyNumberFormat="1" applyFont="1" applyAlignment="1">
      <alignment horizontal="left"/>
    </xf>
    <xf numFmtId="9" fontId="29" fillId="0" borderId="0" xfId="0" applyNumberFormat="1" applyFont="1" applyAlignment="1">
      <alignment horizontal="left"/>
    </xf>
    <xf numFmtId="184" fontId="0" fillId="0" borderId="0" xfId="0" applyNumberFormat="1"/>
    <xf numFmtId="4" fontId="0" fillId="0" borderId="0" xfId="0" applyNumberFormat="1"/>
    <xf numFmtId="185" fontId="23" fillId="0" borderId="0" xfId="0" applyNumberFormat="1" applyFont="1"/>
    <xf numFmtId="185" fontId="0" fillId="0" borderId="0" xfId="0" applyNumberFormat="1"/>
    <xf numFmtId="183" fontId="29" fillId="0" borderId="0" xfId="0" applyNumberFormat="1" applyFont="1" applyAlignment="1">
      <alignment horizontal="left"/>
    </xf>
    <xf numFmtId="0" fontId="13" fillId="0" borderId="0" xfId="0" applyFont="1" applyAlignment="1">
      <alignment horizontal="left"/>
    </xf>
    <xf numFmtId="0" fontId="0" fillId="0" borderId="0" xfId="0" applyAlignment="1">
      <alignment horizontal="left"/>
    </xf>
    <xf numFmtId="0" fontId="29" fillId="0" borderId="0" xfId="0" applyFont="1" applyAlignment="1">
      <alignment horizontal="left"/>
    </xf>
    <xf numFmtId="185" fontId="0" fillId="0" borderId="0" xfId="0" applyNumberFormat="1" applyAlignment="1">
      <alignment horizontal="left"/>
    </xf>
    <xf numFmtId="9" fontId="0" fillId="0" borderId="0" xfId="0" applyNumberFormat="1" applyAlignment="1">
      <alignment horizontal="left"/>
    </xf>
    <xf numFmtId="3" fontId="31" fillId="2" borderId="0" xfId="0" applyNumberFormat="1" applyFont="1" applyFill="1"/>
    <xf numFmtId="10" fontId="31" fillId="0" borderId="0" xfId="0" applyNumberFormat="1" applyFont="1"/>
    <xf numFmtId="168" fontId="29" fillId="0" borderId="0" xfId="2" applyNumberFormat="1" applyFont="1" applyFill="1" applyBorder="1"/>
    <xf numFmtId="168" fontId="29" fillId="0" borderId="12" xfId="2" applyNumberFormat="1" applyFont="1" applyFill="1" applyBorder="1"/>
    <xf numFmtId="10" fontId="29" fillId="0" borderId="1" xfId="0" applyNumberFormat="1" applyFont="1" applyBorder="1"/>
    <xf numFmtId="186" fontId="31" fillId="0" borderId="0" xfId="0" applyNumberFormat="1" applyFont="1"/>
    <xf numFmtId="4" fontId="29" fillId="0" borderId="0" xfId="0" applyNumberFormat="1" applyFont="1"/>
    <xf numFmtId="166" fontId="0" fillId="0" borderId="0" xfId="1" applyFont="1"/>
    <xf numFmtId="166" fontId="15" fillId="0" borderId="0" xfId="1" applyFont="1"/>
    <xf numFmtId="187" fontId="0" fillId="0" borderId="0" xfId="0" applyNumberFormat="1"/>
    <xf numFmtId="9" fontId="5" fillId="0" borderId="0" xfId="2" applyFont="1" applyFill="1" applyBorder="1" applyAlignment="1">
      <alignment horizontal="right" vertical="top" wrapText="1"/>
    </xf>
    <xf numFmtId="167" fontId="29" fillId="0" borderId="0" xfId="0" applyNumberFormat="1" applyFont="1"/>
    <xf numFmtId="43" fontId="5" fillId="0" borderId="0" xfId="0" applyNumberFormat="1" applyFont="1"/>
    <xf numFmtId="188" fontId="21" fillId="0" borderId="0" xfId="0" applyNumberFormat="1" applyFont="1" applyAlignment="1">
      <alignment horizontal="left"/>
    </xf>
    <xf numFmtId="166" fontId="31" fillId="2" borderId="0" xfId="1" applyFont="1" applyFill="1"/>
    <xf numFmtId="0" fontId="35" fillId="4" borderId="0" xfId="0" applyFont="1" applyFill="1" applyAlignment="1">
      <alignment vertical="center" wrapText="1"/>
    </xf>
    <xf numFmtId="0" fontId="4" fillId="4" borderId="0" xfId="0" applyFont="1" applyFill="1" applyAlignment="1">
      <alignment vertical="center" wrapText="1"/>
    </xf>
    <xf numFmtId="0" fontId="25" fillId="0" borderId="0" xfId="0" applyFont="1" applyAlignment="1">
      <alignment horizontal="center" textRotation="90"/>
    </xf>
    <xf numFmtId="0" fontId="25" fillId="0" borderId="0" xfId="0" applyFont="1" applyAlignment="1">
      <alignment horizontal="center"/>
    </xf>
  </cellXfs>
  <cellStyles count="7">
    <cellStyle name="Comma" xfId="1" builtinId="3"/>
    <cellStyle name="Excel Built-in Comma" xfId="6" xr:uid="{00000000-0005-0000-0000-000001000000}"/>
    <cellStyle name="Excel Built-in Normal" xfId="5" xr:uid="{00000000-0005-0000-0000-000002000000}"/>
    <cellStyle name="Normal" xfId="0" builtinId="0"/>
    <cellStyle name="Normal 7" xfId="4" xr:uid="{00000000-0005-0000-0000-000004000000}"/>
    <cellStyle name="Percent" xfId="2" builtinId="5"/>
    <cellStyle name="표준 2" xfId="3" xr:uid="{00000000-0005-0000-0000-000006000000}"/>
  </cellStyles>
  <dxfs count="15">
    <dxf>
      <font>
        <color rgb="FF000000"/>
        <name val="Calibri"/>
      </font>
      <alignment horizontal="general" vertical="bottom" textRotation="0" wrapText="0" indent="0" shrinkToFit="0"/>
    </dxf>
    <dxf>
      <font>
        <color rgb="FF000000"/>
        <name val="Calibri"/>
      </font>
      <alignment horizontal="general" vertical="bottom" textRotation="0" wrapText="0" indent="0" shrinkToFit="0"/>
    </dxf>
    <dxf>
      <font>
        <color rgb="FF000000"/>
        <name val="Calibri"/>
      </font>
      <alignment horizontal="general" vertical="bottom" textRotation="0" wrapText="0" indent="0" shrinkToFit="0"/>
    </dxf>
    <dxf>
      <font>
        <color rgb="FF000000"/>
        <name val="Calibri"/>
      </font>
      <alignment horizontal="general" vertical="bottom" textRotation="0" wrapText="0" indent="0" shrinkToFit="0"/>
    </dxf>
    <dxf>
      <font>
        <color rgb="FF000000"/>
        <name val="Calibri"/>
      </font>
      <alignment horizontal="general" vertical="bottom" textRotation="0" wrapText="0" indent="0" shrinkToFit="0"/>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304800</xdr:colOff>
      <xdr:row>7</xdr:row>
      <xdr:rowOff>15240</xdr:rowOff>
    </xdr:from>
    <xdr:to>
      <xdr:col>3</xdr:col>
      <xdr:colOff>356235</xdr:colOff>
      <xdr:row>10</xdr:row>
      <xdr:rowOff>38100</xdr:rowOff>
    </xdr:to>
    <xdr:pic>
      <xdr:nvPicPr>
        <xdr:cNvPr id="2" name="Picture 1" descr="Stock Beta Equation">
          <a:extLst>
            <a:ext uri="{FF2B5EF4-FFF2-40B4-BE49-F238E27FC236}">
              <a16:creationId xmlns:a16="http://schemas.microsoft.com/office/drawing/2014/main" id="{00000000-0008-0000-1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0" y="1295400"/>
          <a:ext cx="1706880" cy="480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ESTIMATE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dmin\Documents\Emergent\Emergent%20Research\Equity%20Research\Equity%20Research%20methodology\Equity%20Research%20Tools\OSV_Stock_Analyzer-Sample-vCD2av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DashData"/>
      <sheetName val="KeyData"/>
      <sheetName val="Lists"/>
      <sheetName val="StatementsData"/>
      <sheetName val="MiscData"/>
      <sheetName val="Statements"/>
      <sheetName val="Statements%"/>
      <sheetName val="Ratios"/>
      <sheetName val="RatiosData"/>
      <sheetName val="Quality"/>
      <sheetName val="PioData"/>
      <sheetName val="AltmanData"/>
      <sheetName val="BeneishData"/>
      <sheetName val="AccrualData"/>
      <sheetName val="Inventory"/>
      <sheetName val="InventoryData"/>
      <sheetName val="Charts"/>
      <sheetName val="ChartsData"/>
      <sheetName val="Competitors"/>
      <sheetName val="CompData"/>
      <sheetName val="DCF Valuation"/>
      <sheetName val="DCFData"/>
      <sheetName val="PriceValueGraph"/>
      <sheetName val="Graham Valuation"/>
      <sheetName val="GrahamData"/>
      <sheetName val="EBIT Valuation"/>
      <sheetName val="EBITData"/>
      <sheetName val="AbsolutePE"/>
      <sheetName val="AbsolutePEData"/>
      <sheetName val="EPV"/>
      <sheetName val="EPVData"/>
      <sheetName val="NetNet"/>
      <sheetName val="NetNetData"/>
      <sheetName val="StockDB"/>
      <sheetName val="StockDBData"/>
      <sheetName val="LOGIN"/>
      <sheetName val="SheetState"/>
      <sheetName val="YahooPrices"/>
      <sheetName val="YahooCSVData"/>
      <sheetName val="DCF_Valuation"/>
      <sheetName val="Graham_Valuation"/>
      <sheetName val="EBIT_Valuation"/>
      <sheetName val="DCF_Valuation2"/>
      <sheetName val="Graham_Valuation2"/>
      <sheetName val="EBIT_Valuation2"/>
      <sheetName val="DCF_Valuation1"/>
      <sheetName val="Graham_Valuation1"/>
      <sheetName val="EBIT_Valuation1"/>
    </sheetNames>
    <sheetDataSet>
      <sheetData sheetId="0">
        <row r="34">
          <cell r="H34">
            <v>1</v>
          </cell>
        </row>
      </sheetData>
      <sheetData sheetId="1"/>
      <sheetData sheetId="2">
        <row r="13">
          <cell r="B13">
            <v>72.989999999999995</v>
          </cell>
        </row>
      </sheetData>
      <sheetData sheetId="3">
        <row r="2">
          <cell r="E2">
            <v>6.9671330017419403E-2</v>
          </cell>
          <cell r="G2">
            <v>0</v>
          </cell>
          <cell r="M2">
            <v>0.05</v>
          </cell>
        </row>
        <row r="3">
          <cell r="E3">
            <v>0.09</v>
          </cell>
          <cell r="G3">
            <v>0.02</v>
          </cell>
          <cell r="M3">
            <v>0.1</v>
          </cell>
        </row>
        <row r="4">
          <cell r="E4">
            <v>0.12</v>
          </cell>
          <cell r="G4">
            <v>0.03</v>
          </cell>
          <cell r="M4">
            <v>0.12</v>
          </cell>
        </row>
        <row r="5">
          <cell r="E5">
            <v>0.15</v>
          </cell>
          <cell r="G5">
            <v>0.04</v>
          </cell>
          <cell r="M5">
            <v>0.15</v>
          </cell>
        </row>
        <row r="6">
          <cell r="E6">
            <v>0.18</v>
          </cell>
          <cell r="G6">
            <v>0.05</v>
          </cell>
        </row>
        <row r="7">
          <cell r="E7">
            <v>0.2</v>
          </cell>
          <cell r="G7">
            <v>0.06</v>
          </cell>
        </row>
        <row r="8">
          <cell r="G8">
            <v>7.0000000000000007E-2</v>
          </cell>
        </row>
        <row r="9">
          <cell r="G9">
            <v>0.1</v>
          </cell>
        </row>
      </sheetData>
      <sheetData sheetId="4">
        <row r="2">
          <cell r="E2">
            <v>6.9671330017419403E-2</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3">
          <cell r="E3">
            <v>0.5</v>
          </cell>
        </row>
      </sheetData>
      <sheetData sheetId="22">
        <row r="3">
          <cell r="E3">
            <v>0.5</v>
          </cell>
        </row>
        <row r="81">
          <cell r="H81">
            <v>0.15712386230892009</v>
          </cell>
        </row>
        <row r="82">
          <cell r="H82">
            <v>0.14652955447562563</v>
          </cell>
        </row>
      </sheetData>
      <sheetData sheetId="23">
        <row r="81">
          <cell r="H81">
            <v>0.15712386230892009</v>
          </cell>
        </row>
      </sheetData>
      <sheetData sheetId="24"/>
      <sheetData sheetId="25"/>
      <sheetData sheetId="26"/>
      <sheetData sheetId="27"/>
      <sheetData sheetId="28"/>
      <sheetData sheetId="29">
        <row r="34">
          <cell r="H34">
            <v>1</v>
          </cell>
        </row>
      </sheetData>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workbookViewId="0">
      <selection activeCell="D6" sqref="D6"/>
    </sheetView>
  </sheetViews>
  <sheetFormatPr defaultRowHeight="14.4"/>
  <cols>
    <col min="1" max="1" width="20" bestFit="1" customWidth="1"/>
  </cols>
  <sheetData>
    <row r="1" spans="1:2">
      <c r="A1" s="61" t="s">
        <v>245</v>
      </c>
      <c r="B1" t="s">
        <v>251</v>
      </c>
    </row>
    <row r="2" spans="1:2">
      <c r="B2" t="s">
        <v>252</v>
      </c>
    </row>
    <row r="3" spans="1:2">
      <c r="A3" s="61" t="s">
        <v>246</v>
      </c>
      <c r="B3" t="s">
        <v>258</v>
      </c>
    </row>
    <row r="5" spans="1:2">
      <c r="A5" s="61" t="s">
        <v>247</v>
      </c>
      <c r="B5" t="s">
        <v>257</v>
      </c>
    </row>
    <row r="7" spans="1:2">
      <c r="A7" s="61" t="s">
        <v>248</v>
      </c>
      <c r="B7" t="s">
        <v>254</v>
      </c>
    </row>
    <row r="8" spans="1:2">
      <c r="B8" t="s">
        <v>253</v>
      </c>
    </row>
    <row r="9" spans="1:2">
      <c r="B9" t="s">
        <v>256</v>
      </c>
    </row>
    <row r="10" spans="1:2">
      <c r="B10" t="s">
        <v>255</v>
      </c>
    </row>
    <row r="14" spans="1:2">
      <c r="A14" s="61" t="s">
        <v>249</v>
      </c>
      <c r="B14" t="s">
        <v>250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56"/>
  <sheetViews>
    <sheetView workbookViewId="0">
      <pane xSplit="1" topLeftCell="H1" activePane="topRight" state="frozen"/>
      <selection activeCell="A32" sqref="A32"/>
      <selection pane="topRight" activeCell="J76" sqref="J76"/>
    </sheetView>
  </sheetViews>
  <sheetFormatPr defaultColWidth="8.88671875" defaultRowHeight="13.8"/>
  <cols>
    <col min="1" max="1" width="46.109375" style="159" customWidth="1"/>
    <col min="2" max="2" width="12.5546875" style="159" customWidth="1"/>
    <col min="3" max="3" width="13.6640625" style="159" customWidth="1"/>
    <col min="4" max="4" width="13.88671875" style="159" bestFit="1" customWidth="1"/>
    <col min="5" max="5" width="14.44140625" style="159" bestFit="1" customWidth="1"/>
    <col min="6" max="6" width="15.5546875" style="159" customWidth="1"/>
    <col min="7" max="7" width="20.33203125" style="159" customWidth="1"/>
    <col min="8" max="9" width="19" style="159" customWidth="1"/>
    <col min="10" max="10" width="13.109375" style="117" bestFit="1" customWidth="1"/>
    <col min="11" max="26" width="8.88671875" style="117"/>
    <col min="27" max="16384" width="8.88671875" style="159"/>
  </cols>
  <sheetData>
    <row r="1" spans="1:26" s="161" customFormat="1">
      <c r="A1" s="460"/>
      <c r="B1" s="350" t="s">
        <v>394</v>
      </c>
      <c r="C1" s="350" t="s">
        <v>394</v>
      </c>
      <c r="D1" s="350" t="s">
        <v>394</v>
      </c>
      <c r="E1" s="350" t="s">
        <v>394</v>
      </c>
      <c r="F1" s="350" t="s">
        <v>394</v>
      </c>
      <c r="G1" s="350" t="s">
        <v>394</v>
      </c>
      <c r="H1" s="350" t="s">
        <v>394</v>
      </c>
      <c r="I1" s="350" t="s">
        <v>394</v>
      </c>
      <c r="J1" s="117"/>
      <c r="K1" s="117"/>
      <c r="L1" s="117"/>
      <c r="M1" s="117"/>
      <c r="N1" s="117"/>
      <c r="O1" s="117"/>
      <c r="P1" s="117"/>
      <c r="Q1" s="117"/>
      <c r="R1" s="117"/>
      <c r="S1" s="117"/>
      <c r="T1" s="117"/>
      <c r="U1" s="117"/>
      <c r="V1" s="117"/>
      <c r="W1" s="117"/>
      <c r="X1" s="117"/>
      <c r="Y1" s="117"/>
      <c r="Z1" s="117"/>
    </row>
    <row r="2" spans="1:26" s="161" customFormat="1">
      <c r="A2" s="460"/>
      <c r="B2" s="354">
        <v>2017</v>
      </c>
      <c r="C2" s="354">
        <v>2018</v>
      </c>
      <c r="D2" s="355">
        <v>2019</v>
      </c>
      <c r="E2" s="355">
        <v>2020</v>
      </c>
      <c r="F2" s="355">
        <v>2021</v>
      </c>
      <c r="G2" s="355">
        <v>2022</v>
      </c>
      <c r="H2" s="355">
        <v>2023</v>
      </c>
      <c r="I2" s="355">
        <v>2024</v>
      </c>
      <c r="J2" s="117"/>
      <c r="K2" s="117"/>
      <c r="L2" s="117"/>
      <c r="M2" s="117"/>
      <c r="N2" s="117"/>
      <c r="O2" s="117"/>
      <c r="P2" s="117"/>
      <c r="Q2" s="117"/>
      <c r="R2" s="117"/>
      <c r="S2" s="117"/>
      <c r="T2" s="117"/>
      <c r="U2" s="117"/>
      <c r="V2" s="117"/>
      <c r="W2" s="117"/>
      <c r="X2" s="117"/>
      <c r="Y2" s="117"/>
      <c r="Z2" s="117"/>
    </row>
    <row r="3" spans="1:26" s="117" customFormat="1">
      <c r="A3" s="43" t="s">
        <v>2</v>
      </c>
      <c r="B3" s="43"/>
      <c r="C3" s="356">
        <v>17948319</v>
      </c>
      <c r="D3" s="356">
        <v>320682914</v>
      </c>
      <c r="E3" s="356">
        <v>1376518853</v>
      </c>
      <c r="F3" s="356">
        <f>6321175173</f>
        <v>6321175173</v>
      </c>
      <c r="G3" s="356">
        <v>47635606205</v>
      </c>
      <c r="H3" s="356">
        <v>24148941</v>
      </c>
      <c r="I3" s="356">
        <v>31510454</v>
      </c>
    </row>
    <row r="4" spans="1:26" s="117" customFormat="1">
      <c r="A4" s="38" t="s">
        <v>148</v>
      </c>
      <c r="B4" s="38"/>
      <c r="C4" s="357"/>
      <c r="D4" s="357"/>
      <c r="E4" s="357"/>
      <c r="F4" s="357"/>
      <c r="G4" s="357"/>
      <c r="H4" s="357"/>
      <c r="I4" s="357"/>
    </row>
    <row r="5" spans="1:26" s="117" customFormat="1">
      <c r="A5" s="43" t="s">
        <v>76</v>
      </c>
      <c r="B5" s="43"/>
      <c r="C5" s="356"/>
      <c r="D5" s="356"/>
      <c r="E5" s="356"/>
      <c r="F5" s="356"/>
      <c r="G5" s="356"/>
      <c r="H5" s="356"/>
      <c r="I5" s="356"/>
    </row>
    <row r="6" spans="1:26" s="117" customFormat="1">
      <c r="A6" s="38" t="s">
        <v>276</v>
      </c>
      <c r="B6" s="38"/>
      <c r="C6" s="357"/>
      <c r="D6" s="357"/>
      <c r="E6" s="357"/>
      <c r="F6" s="357"/>
      <c r="G6" s="357"/>
      <c r="H6" s="357"/>
      <c r="I6" s="357"/>
    </row>
    <row r="7" spans="1:26" s="117" customFormat="1">
      <c r="A7" s="38" t="s">
        <v>277</v>
      </c>
      <c r="B7" s="38"/>
      <c r="C7" s="357"/>
      <c r="D7" s="357"/>
      <c r="E7" s="357"/>
      <c r="F7" s="357"/>
      <c r="G7" s="357"/>
      <c r="H7" s="357"/>
      <c r="I7" s="357"/>
    </row>
    <row r="8" spans="1:26" s="117" customFormat="1">
      <c r="A8" s="38" t="s">
        <v>154</v>
      </c>
      <c r="B8" s="38"/>
      <c r="C8" s="357"/>
      <c r="D8" s="357"/>
      <c r="E8" s="357"/>
      <c r="F8" s="357"/>
      <c r="G8" s="357"/>
      <c r="H8" s="357"/>
      <c r="I8" s="357"/>
    </row>
    <row r="9" spans="1:26" s="117" customFormat="1">
      <c r="A9" s="37" t="s">
        <v>286</v>
      </c>
      <c r="B9" s="37"/>
      <c r="C9" s="358">
        <v>914453</v>
      </c>
      <c r="D9" s="358">
        <v>85393209</v>
      </c>
      <c r="E9" s="358">
        <v>826342145</v>
      </c>
      <c r="F9" s="358">
        <v>1714448051</v>
      </c>
      <c r="G9" s="358">
        <v>14118589191</v>
      </c>
      <c r="H9" s="358">
        <v>2637174</v>
      </c>
      <c r="I9" s="358">
        <v>7269383</v>
      </c>
    </row>
    <row r="10" spans="1:26" s="117" customFormat="1">
      <c r="A10" s="38" t="s">
        <v>395</v>
      </c>
      <c r="B10" s="38"/>
      <c r="C10" s="357">
        <v>202041</v>
      </c>
      <c r="D10" s="357">
        <v>0</v>
      </c>
      <c r="E10" s="357">
        <v>0</v>
      </c>
      <c r="F10" s="357">
        <v>0</v>
      </c>
      <c r="G10" s="357">
        <v>0</v>
      </c>
      <c r="H10" s="357">
        <v>0</v>
      </c>
      <c r="I10" s="357">
        <v>0</v>
      </c>
    </row>
    <row r="11" spans="1:26" s="117" customFormat="1">
      <c r="A11" s="38" t="s">
        <v>403</v>
      </c>
      <c r="B11" s="38"/>
      <c r="C11" s="357"/>
      <c r="D11" s="357">
        <v>57971722</v>
      </c>
      <c r="E11" s="357"/>
      <c r="F11" s="357"/>
      <c r="G11" s="357">
        <v>12044759748</v>
      </c>
      <c r="H11" s="357">
        <v>0</v>
      </c>
      <c r="I11" s="357">
        <v>0</v>
      </c>
    </row>
    <row r="12" spans="1:26" s="117" customFormat="1">
      <c r="A12" s="38" t="s">
        <v>419</v>
      </c>
      <c r="B12" s="38"/>
      <c r="C12" s="357"/>
      <c r="D12" s="357">
        <v>-16562305</v>
      </c>
      <c r="E12" s="357">
        <v>-83442834</v>
      </c>
      <c r="F12" s="357">
        <v>-233337964</v>
      </c>
      <c r="G12" s="357">
        <v>-1375215691</v>
      </c>
      <c r="H12" s="357">
        <v>-740093</v>
      </c>
      <c r="I12" s="357">
        <v>-2232633</v>
      </c>
    </row>
    <row r="13" spans="1:26" s="117" customFormat="1">
      <c r="A13" s="37" t="s">
        <v>68</v>
      </c>
      <c r="B13" s="37"/>
      <c r="C13" s="358">
        <v>690502</v>
      </c>
      <c r="D13" s="358">
        <f t="shared" ref="D13:I13" si="0">SUM(D9:D12)</f>
        <v>126802626</v>
      </c>
      <c r="E13" s="358">
        <f t="shared" si="0"/>
        <v>742899311</v>
      </c>
      <c r="F13" s="358">
        <f t="shared" si="0"/>
        <v>1481110087</v>
      </c>
      <c r="G13" s="358">
        <f t="shared" si="0"/>
        <v>24788133248</v>
      </c>
      <c r="H13" s="358">
        <f t="shared" si="0"/>
        <v>1897081</v>
      </c>
      <c r="I13" s="358">
        <f t="shared" si="0"/>
        <v>5036750</v>
      </c>
      <c r="J13" s="408"/>
      <c r="K13" s="408"/>
      <c r="L13" s="408"/>
    </row>
    <row r="14" spans="1:26" s="117" customFormat="1">
      <c r="A14" s="38" t="s">
        <v>158</v>
      </c>
      <c r="B14" s="38"/>
      <c r="C14" s="357"/>
      <c r="D14" s="357"/>
      <c r="E14" s="357"/>
      <c r="F14" s="357"/>
      <c r="G14" s="357"/>
      <c r="H14" s="357"/>
      <c r="I14" s="357"/>
    </row>
    <row r="15" spans="1:26" s="117" customFormat="1">
      <c r="A15" s="38" t="s">
        <v>403</v>
      </c>
      <c r="B15" s="38"/>
      <c r="C15" s="357"/>
      <c r="D15" s="357"/>
      <c r="E15" s="357">
        <v>93397843</v>
      </c>
      <c r="F15" s="357"/>
      <c r="G15" s="357"/>
      <c r="H15" s="357">
        <v>2200</v>
      </c>
      <c r="I15" s="357"/>
    </row>
    <row r="16" spans="1:26" s="117" customFormat="1">
      <c r="A16" s="38" t="s">
        <v>441</v>
      </c>
      <c r="B16" s="38"/>
      <c r="C16" s="357"/>
      <c r="D16" s="357"/>
      <c r="E16" s="357">
        <v>-468751991</v>
      </c>
      <c r="F16" s="357">
        <v>-154275369</v>
      </c>
      <c r="G16" s="357">
        <v>1861396121</v>
      </c>
      <c r="H16" s="357">
        <v>2801682</v>
      </c>
      <c r="I16" s="357">
        <v>0</v>
      </c>
    </row>
    <row r="17" spans="1:26" s="117" customFormat="1">
      <c r="A17" s="38" t="s">
        <v>155</v>
      </c>
      <c r="B17" s="38"/>
      <c r="C17" s="357">
        <v>-90061</v>
      </c>
      <c r="D17" s="357">
        <v>-795237</v>
      </c>
      <c r="E17" s="357">
        <v>-3222233</v>
      </c>
      <c r="F17" s="357">
        <v>-59927147</v>
      </c>
      <c r="G17" s="357">
        <v>-379053344</v>
      </c>
      <c r="H17" s="357">
        <v>-120697</v>
      </c>
      <c r="I17" s="357">
        <v>-158659</v>
      </c>
    </row>
    <row r="18" spans="1:26" s="117" customFormat="1">
      <c r="A18" s="37" t="s">
        <v>101</v>
      </c>
      <c r="B18" s="37"/>
      <c r="C18" s="358">
        <f t="shared" ref="C18:H18" si="1">SUM(C13:C17)</f>
        <v>600441</v>
      </c>
      <c r="D18" s="358">
        <f t="shared" si="1"/>
        <v>126007389</v>
      </c>
      <c r="E18" s="358">
        <f t="shared" si="1"/>
        <v>364322930</v>
      </c>
      <c r="F18" s="358">
        <f t="shared" si="1"/>
        <v>1266907571</v>
      </c>
      <c r="G18" s="358">
        <f t="shared" si="1"/>
        <v>26270476025</v>
      </c>
      <c r="H18" s="358">
        <f t="shared" si="1"/>
        <v>4580266</v>
      </c>
      <c r="I18" s="358">
        <f t="shared" ref="I18" si="2">SUM(I13:I17)</f>
        <v>4878091</v>
      </c>
    </row>
    <row r="19" spans="1:26" s="117" customFormat="1">
      <c r="A19" s="17" t="s">
        <v>5</v>
      </c>
      <c r="B19" s="17"/>
      <c r="C19" s="359">
        <v>-67842</v>
      </c>
      <c r="D19" s="359">
        <v>-6122882</v>
      </c>
      <c r="E19" s="359">
        <v>-111410791</v>
      </c>
      <c r="F19" s="359">
        <v>-415479238</v>
      </c>
      <c r="G19" s="359">
        <v>-3889336867</v>
      </c>
      <c r="H19" s="359">
        <v>-1132242</v>
      </c>
      <c r="I19" s="359">
        <v>-1253687</v>
      </c>
    </row>
    <row r="20" spans="1:26" s="117" customFormat="1">
      <c r="A20" s="37" t="s">
        <v>140</v>
      </c>
      <c r="B20" s="37"/>
      <c r="C20" s="358">
        <f t="shared" ref="C20:H20" si="3">SUM(C18:C19)</f>
        <v>532599</v>
      </c>
      <c r="D20" s="358">
        <f t="shared" si="3"/>
        <v>119884507</v>
      </c>
      <c r="E20" s="358">
        <f t="shared" si="3"/>
        <v>252912139</v>
      </c>
      <c r="F20" s="358">
        <f t="shared" si="3"/>
        <v>851428333</v>
      </c>
      <c r="G20" s="358">
        <f t="shared" si="3"/>
        <v>22381139158</v>
      </c>
      <c r="H20" s="358">
        <f t="shared" si="3"/>
        <v>3448024</v>
      </c>
      <c r="I20" s="358">
        <f t="shared" ref="I20" si="4">SUM(I18:I19)</f>
        <v>3624404</v>
      </c>
    </row>
    <row r="21" spans="1:26" s="162" customFormat="1">
      <c r="A21" s="38" t="s">
        <v>26</v>
      </c>
      <c r="B21" s="38"/>
      <c r="C21" s="387">
        <f t="shared" ref="C21:G21" si="5">C19/C18</f>
        <v>-0.11298695458837754</v>
      </c>
      <c r="D21" s="387">
        <f t="shared" si="5"/>
        <v>-4.8591452045720906E-2</v>
      </c>
      <c r="E21" s="387">
        <f t="shared" si="5"/>
        <v>-0.30580230291845756</v>
      </c>
      <c r="F21" s="387">
        <f t="shared" si="5"/>
        <v>-0.32794755316842289</v>
      </c>
      <c r="G21" s="387">
        <f t="shared" si="5"/>
        <v>-0.14804972941102235</v>
      </c>
      <c r="H21" s="387">
        <f>-H19/H18</f>
        <v>0.24720005344667756</v>
      </c>
      <c r="I21" s="387">
        <f>-I19/I18</f>
        <v>0.25700361063374999</v>
      </c>
      <c r="J21" s="117"/>
      <c r="K21" s="117"/>
      <c r="L21" s="117"/>
      <c r="M21" s="117"/>
      <c r="N21" s="117"/>
      <c r="O21" s="117"/>
      <c r="P21" s="117"/>
      <c r="Q21" s="117"/>
      <c r="R21" s="117"/>
      <c r="S21" s="117"/>
      <c r="T21" s="117"/>
      <c r="U21" s="117"/>
      <c r="V21" s="117"/>
      <c r="W21" s="117"/>
      <c r="X21" s="117"/>
      <c r="Y21" s="117"/>
      <c r="Z21" s="117"/>
    </row>
    <row r="22" spans="1:26" s="117" customFormat="1">
      <c r="A22" s="43"/>
      <c r="B22" s="43"/>
      <c r="C22" s="356"/>
      <c r="D22" s="356"/>
      <c r="E22" s="356"/>
      <c r="F22" s="356"/>
      <c r="G22" s="356"/>
      <c r="H22" s="356"/>
      <c r="I22" s="356"/>
    </row>
    <row r="23" spans="1:26" s="117" customFormat="1">
      <c r="A23" s="461" t="s">
        <v>6</v>
      </c>
      <c r="B23" s="365"/>
      <c r="C23" s="21" t="str">
        <f t="shared" ref="C23:E24" si="6">C1</f>
        <v xml:space="preserve">June </v>
      </c>
      <c r="D23" s="21" t="str">
        <f t="shared" si="6"/>
        <v xml:space="preserve">June </v>
      </c>
      <c r="E23" s="21" t="str">
        <f t="shared" si="6"/>
        <v xml:space="preserve">June </v>
      </c>
      <c r="F23" s="21" t="str">
        <f t="shared" ref="F23:G23" si="7">F1</f>
        <v xml:space="preserve">June </v>
      </c>
      <c r="G23" s="21" t="str">
        <f t="shared" si="7"/>
        <v xml:space="preserve">June </v>
      </c>
      <c r="H23" s="21" t="str">
        <f t="shared" ref="H23:I23" si="8">H1</f>
        <v xml:space="preserve">June </v>
      </c>
      <c r="I23" s="21" t="str">
        <f t="shared" si="8"/>
        <v xml:space="preserve">June </v>
      </c>
    </row>
    <row r="24" spans="1:26" s="117" customFormat="1">
      <c r="A24" s="461"/>
      <c r="B24" s="365"/>
      <c r="C24" s="27">
        <f t="shared" si="6"/>
        <v>2018</v>
      </c>
      <c r="D24" s="27">
        <f t="shared" si="6"/>
        <v>2019</v>
      </c>
      <c r="E24" s="27">
        <f t="shared" si="6"/>
        <v>2020</v>
      </c>
      <c r="F24" s="27">
        <f t="shared" ref="F24:G24" si="9">F2</f>
        <v>2021</v>
      </c>
      <c r="G24" s="27">
        <f t="shared" si="9"/>
        <v>2022</v>
      </c>
      <c r="H24" s="27">
        <f t="shared" ref="H24:I24" si="10">H2</f>
        <v>2023</v>
      </c>
      <c r="I24" s="27">
        <f t="shared" si="10"/>
        <v>2024</v>
      </c>
    </row>
    <row r="25" spans="1:26" s="117" customFormat="1">
      <c r="A25" s="38" t="s">
        <v>37</v>
      </c>
      <c r="B25" s="38"/>
      <c r="C25" s="16">
        <v>8691388</v>
      </c>
      <c r="D25" s="16">
        <v>442451689</v>
      </c>
      <c r="E25" s="16">
        <v>1185122316</v>
      </c>
      <c r="F25" s="16">
        <v>4719400769</v>
      </c>
      <c r="G25" s="16">
        <v>57875390570</v>
      </c>
      <c r="H25" s="16">
        <v>23630406</v>
      </c>
      <c r="I25" s="16">
        <v>21568656</v>
      </c>
    </row>
    <row r="26" spans="1:26" s="162" customFormat="1">
      <c r="A26" s="38" t="s">
        <v>278</v>
      </c>
      <c r="B26" s="38"/>
      <c r="C26" s="16"/>
      <c r="D26" s="16"/>
      <c r="E26" s="16"/>
      <c r="F26" s="16"/>
      <c r="G26" s="16"/>
      <c r="H26" s="16"/>
      <c r="I26" s="16"/>
      <c r="J26" s="117"/>
      <c r="K26" s="117"/>
      <c r="L26" s="117"/>
      <c r="M26" s="117"/>
      <c r="N26" s="117"/>
      <c r="O26" s="117"/>
      <c r="P26" s="117"/>
      <c r="Q26" s="117"/>
      <c r="R26" s="117"/>
      <c r="S26" s="117"/>
      <c r="T26" s="117"/>
      <c r="U26" s="117"/>
      <c r="V26" s="117"/>
      <c r="W26" s="117"/>
      <c r="X26" s="117"/>
      <c r="Y26" s="117"/>
      <c r="Z26" s="117"/>
    </row>
    <row r="27" spans="1:26" s="117" customFormat="1">
      <c r="A27" s="38" t="s">
        <v>142</v>
      </c>
      <c r="B27" s="38"/>
      <c r="C27" s="39">
        <v>4616000</v>
      </c>
      <c r="D27" s="39">
        <v>171367608</v>
      </c>
      <c r="E27" s="39">
        <v>487211857</v>
      </c>
      <c r="F27" s="39">
        <v>3133405427</v>
      </c>
      <c r="G27" s="39">
        <v>28444264032</v>
      </c>
      <c r="H27" s="39">
        <v>7800930</v>
      </c>
      <c r="I27" s="39">
        <v>7800930</v>
      </c>
    </row>
    <row r="28" spans="1:26" s="117" customFormat="1">
      <c r="A28" s="38" t="s">
        <v>279</v>
      </c>
      <c r="B28" s="38"/>
      <c r="C28" s="39"/>
      <c r="D28" s="39"/>
      <c r="E28" s="39"/>
      <c r="F28" s="39"/>
      <c r="G28" s="39"/>
      <c r="H28" s="39"/>
      <c r="I28" s="39"/>
    </row>
    <row r="29" spans="1:26" s="117" customFormat="1">
      <c r="A29" s="38" t="s">
        <v>404</v>
      </c>
      <c r="B29" s="38"/>
      <c r="C29" s="39">
        <v>2795681</v>
      </c>
      <c r="D29" s="39">
        <v>31321964</v>
      </c>
      <c r="E29" s="39">
        <v>195797383</v>
      </c>
      <c r="F29" s="39">
        <v>326985199</v>
      </c>
      <c r="G29" s="39">
        <v>624049792</v>
      </c>
      <c r="H29" s="39">
        <v>78304</v>
      </c>
      <c r="I29" s="39">
        <v>44688</v>
      </c>
    </row>
    <row r="30" spans="1:26">
      <c r="A30" s="86" t="s">
        <v>13</v>
      </c>
      <c r="B30" s="86"/>
      <c r="C30" s="87">
        <f t="shared" ref="C30:H30" si="11">SUM(C25:C29)</f>
        <v>16103069</v>
      </c>
      <c r="D30" s="87">
        <f t="shared" si="11"/>
        <v>645141261</v>
      </c>
      <c r="E30" s="87">
        <f t="shared" si="11"/>
        <v>1868131556</v>
      </c>
      <c r="F30" s="87">
        <f t="shared" si="11"/>
        <v>8179791395</v>
      </c>
      <c r="G30" s="87">
        <f t="shared" si="11"/>
        <v>86943704394</v>
      </c>
      <c r="H30" s="87">
        <f t="shared" si="11"/>
        <v>31509640</v>
      </c>
      <c r="I30" s="87">
        <f t="shared" ref="I30" si="12">SUM(I25:I29)</f>
        <v>29414274</v>
      </c>
    </row>
    <row r="31" spans="1:26">
      <c r="A31" s="43" t="s">
        <v>71</v>
      </c>
      <c r="B31" s="43"/>
      <c r="C31" s="16"/>
      <c r="D31" s="16"/>
      <c r="E31" s="16"/>
      <c r="F31" s="16"/>
      <c r="G31" s="16"/>
      <c r="H31" s="16"/>
      <c r="I31" s="16"/>
    </row>
    <row r="32" spans="1:26" s="115" customFormat="1">
      <c r="A32" s="38" t="s">
        <v>30</v>
      </c>
      <c r="B32" s="38"/>
      <c r="C32" s="16">
        <v>1725984</v>
      </c>
      <c r="D32" s="16">
        <v>75162374</v>
      </c>
      <c r="E32" s="16">
        <v>142152818</v>
      </c>
      <c r="F32" s="16">
        <v>406327543</v>
      </c>
      <c r="G32" s="16">
        <v>1473577727</v>
      </c>
      <c r="H32" s="16">
        <v>4580974</v>
      </c>
      <c r="I32" s="16">
        <v>4454927</v>
      </c>
      <c r="J32" s="117"/>
      <c r="K32" s="117"/>
      <c r="L32" s="117"/>
      <c r="M32" s="117"/>
      <c r="N32" s="117"/>
      <c r="O32" s="117"/>
      <c r="P32" s="117"/>
      <c r="Q32" s="117"/>
      <c r="R32" s="117"/>
      <c r="S32" s="117"/>
      <c r="T32" s="117"/>
      <c r="U32" s="117"/>
      <c r="V32" s="117"/>
      <c r="W32" s="117"/>
      <c r="X32" s="117"/>
      <c r="Y32" s="117"/>
      <c r="Z32" s="117"/>
    </row>
    <row r="33" spans="1:26" s="115" customFormat="1">
      <c r="A33" s="38" t="s">
        <v>397</v>
      </c>
      <c r="B33" s="38"/>
      <c r="C33" s="16"/>
      <c r="D33" s="16"/>
      <c r="E33" s="16"/>
      <c r="F33" s="16"/>
      <c r="G33" s="16"/>
      <c r="H33" s="16"/>
      <c r="I33" s="16"/>
      <c r="J33" s="117"/>
      <c r="K33" s="117"/>
      <c r="L33" s="117"/>
      <c r="M33" s="117"/>
      <c r="N33" s="117"/>
      <c r="O33" s="117"/>
      <c r="P33" s="117"/>
      <c r="Q33" s="117"/>
      <c r="R33" s="117"/>
      <c r="S33" s="117"/>
      <c r="T33" s="117"/>
      <c r="U33" s="117"/>
      <c r="V33" s="117"/>
      <c r="W33" s="117"/>
      <c r="X33" s="117"/>
      <c r="Y33" s="117"/>
      <c r="Z33" s="117"/>
    </row>
    <row r="34" spans="1:26" s="167" customFormat="1">
      <c r="A34" s="38" t="s">
        <v>38</v>
      </c>
      <c r="B34" s="38"/>
      <c r="C34" s="39"/>
      <c r="D34" s="39"/>
      <c r="E34" s="39"/>
      <c r="F34" s="39"/>
      <c r="G34" s="39"/>
      <c r="H34" s="39"/>
      <c r="I34" s="39"/>
      <c r="J34" s="117"/>
      <c r="K34" s="117"/>
      <c r="L34" s="117"/>
      <c r="M34" s="117"/>
      <c r="N34" s="117"/>
      <c r="O34" s="117"/>
      <c r="P34" s="117"/>
      <c r="Q34" s="117"/>
      <c r="R34" s="117"/>
      <c r="S34" s="117"/>
      <c r="T34" s="117"/>
      <c r="U34" s="117"/>
      <c r="V34" s="117"/>
      <c r="W34" s="117"/>
      <c r="X34" s="117"/>
      <c r="Y34" s="117"/>
      <c r="Z34" s="117"/>
    </row>
    <row r="35" spans="1:26">
      <c r="A35" s="38" t="s">
        <v>405</v>
      </c>
      <c r="B35" s="38"/>
      <c r="C35" s="39">
        <v>20357440</v>
      </c>
      <c r="D35" s="39">
        <v>451781602</v>
      </c>
      <c r="E35" s="39">
        <v>3299646475</v>
      </c>
      <c r="F35" s="39">
        <v>12524656727</v>
      </c>
      <c r="G35" s="39">
        <v>90769319905</v>
      </c>
      <c r="H35" s="39">
        <v>46962352</v>
      </c>
      <c r="I35" s="39">
        <v>43607531</v>
      </c>
    </row>
    <row r="36" spans="1:26" s="167" customFormat="1">
      <c r="A36" s="38" t="s">
        <v>398</v>
      </c>
      <c r="B36" s="38"/>
      <c r="C36" s="39"/>
      <c r="D36" s="39"/>
      <c r="E36" s="39"/>
      <c r="F36" s="39"/>
      <c r="G36" s="39"/>
      <c r="H36" s="39"/>
      <c r="I36" s="39"/>
      <c r="J36" s="117"/>
      <c r="K36" s="117"/>
      <c r="L36" s="117"/>
      <c r="M36" s="117"/>
      <c r="N36" s="117"/>
      <c r="O36" s="117"/>
      <c r="P36" s="117"/>
      <c r="Q36" s="117"/>
      <c r="R36" s="117"/>
      <c r="S36" s="117"/>
      <c r="T36" s="117"/>
      <c r="U36" s="117"/>
      <c r="V36" s="117"/>
      <c r="W36" s="117"/>
      <c r="X36" s="117"/>
      <c r="Y36" s="117"/>
      <c r="Z36" s="117"/>
    </row>
    <row r="37" spans="1:26" s="167" customFormat="1">
      <c r="A37" s="38" t="s">
        <v>143</v>
      </c>
      <c r="B37" s="38"/>
      <c r="C37" s="16">
        <v>78579</v>
      </c>
      <c r="D37" s="16">
        <v>0</v>
      </c>
      <c r="E37" s="16">
        <v>0</v>
      </c>
      <c r="F37" s="16">
        <v>0</v>
      </c>
      <c r="G37" s="16">
        <v>0</v>
      </c>
      <c r="H37" s="16">
        <v>0</v>
      </c>
      <c r="I37" s="16">
        <v>0</v>
      </c>
      <c r="J37" s="117"/>
      <c r="K37" s="117"/>
      <c r="L37" s="117"/>
      <c r="M37" s="117"/>
      <c r="N37" s="117"/>
      <c r="O37" s="117"/>
      <c r="P37" s="117"/>
      <c r="Q37" s="117"/>
      <c r="R37" s="117"/>
      <c r="S37" s="117"/>
      <c r="T37" s="117"/>
      <c r="U37" s="117"/>
      <c r="V37" s="117"/>
      <c r="W37" s="117"/>
      <c r="X37" s="117"/>
      <c r="Y37" s="117"/>
      <c r="Z37" s="117"/>
    </row>
    <row r="38" spans="1:26" s="167" customFormat="1">
      <c r="A38" s="38" t="s">
        <v>15</v>
      </c>
      <c r="B38" s="38"/>
      <c r="C38" s="16">
        <v>3788881</v>
      </c>
      <c r="D38" s="16">
        <v>30982916</v>
      </c>
      <c r="E38" s="16">
        <v>287137113</v>
      </c>
      <c r="F38" s="16">
        <v>3851755397</v>
      </c>
      <c r="G38" s="16">
        <v>4463107397</v>
      </c>
      <c r="H38" s="16">
        <v>2731700</v>
      </c>
      <c r="I38" s="16">
        <v>2165459</v>
      </c>
      <c r="J38" s="117"/>
      <c r="K38" s="117"/>
      <c r="L38" s="117"/>
      <c r="M38" s="117"/>
      <c r="N38" s="117"/>
      <c r="O38" s="117"/>
      <c r="P38" s="117"/>
      <c r="Q38" s="117"/>
      <c r="R38" s="117"/>
      <c r="S38" s="117"/>
      <c r="T38" s="117"/>
      <c r="U38" s="117"/>
      <c r="V38" s="117"/>
      <c r="W38" s="117"/>
      <c r="X38" s="117"/>
      <c r="Y38" s="117"/>
      <c r="Z38" s="117"/>
    </row>
    <row r="39" spans="1:26" s="171" customFormat="1">
      <c r="A39" s="38" t="s">
        <v>399</v>
      </c>
      <c r="B39" s="38"/>
      <c r="C39" s="16"/>
      <c r="D39" s="16"/>
      <c r="E39" s="16"/>
      <c r="F39" s="16"/>
      <c r="G39" s="16"/>
      <c r="H39" s="16"/>
      <c r="I39" s="16"/>
      <c r="J39" s="117"/>
      <c r="K39" s="117"/>
      <c r="L39" s="117"/>
      <c r="M39" s="117"/>
      <c r="N39" s="117"/>
      <c r="O39" s="117"/>
      <c r="P39" s="117"/>
      <c r="Q39" s="117"/>
      <c r="R39" s="117"/>
      <c r="S39" s="117"/>
      <c r="T39" s="117"/>
      <c r="U39" s="117"/>
      <c r="V39" s="117"/>
      <c r="W39" s="117"/>
      <c r="X39" s="117"/>
      <c r="Y39" s="117"/>
      <c r="Z39" s="117"/>
    </row>
    <row r="40" spans="1:26" s="172" customFormat="1">
      <c r="A40" s="38" t="s">
        <v>147</v>
      </c>
      <c r="B40" s="38"/>
      <c r="C40" s="16"/>
      <c r="D40" s="16"/>
      <c r="E40" s="16"/>
      <c r="F40" s="16"/>
      <c r="G40" s="16"/>
      <c r="H40" s="16"/>
      <c r="I40" s="16"/>
      <c r="J40" s="117"/>
      <c r="K40" s="117"/>
      <c r="L40" s="117"/>
      <c r="M40" s="117"/>
      <c r="N40" s="117"/>
      <c r="O40" s="117"/>
      <c r="P40" s="117"/>
      <c r="Q40" s="117"/>
      <c r="R40" s="117"/>
      <c r="S40" s="117"/>
      <c r="T40" s="117"/>
      <c r="U40" s="117"/>
      <c r="V40" s="117"/>
      <c r="W40" s="117"/>
      <c r="X40" s="117"/>
      <c r="Y40" s="117"/>
      <c r="Z40" s="117"/>
    </row>
    <row r="41" spans="1:26" s="172" customFormat="1" ht="14.4" thickBot="1">
      <c r="A41" s="88" t="s">
        <v>14</v>
      </c>
      <c r="B41" s="88"/>
      <c r="C41" s="89">
        <f t="shared" ref="C41:H41" si="13">SUM(C32:C40)</f>
        <v>25950884</v>
      </c>
      <c r="D41" s="89">
        <f t="shared" si="13"/>
        <v>557926892</v>
      </c>
      <c r="E41" s="89">
        <f t="shared" si="13"/>
        <v>3728936406</v>
      </c>
      <c r="F41" s="89">
        <f t="shared" si="13"/>
        <v>16782739667</v>
      </c>
      <c r="G41" s="89">
        <f t="shared" si="13"/>
        <v>96706005029</v>
      </c>
      <c r="H41" s="89">
        <f t="shared" si="13"/>
        <v>54275026</v>
      </c>
      <c r="I41" s="89">
        <f t="shared" ref="I41" si="14">SUM(I32:I40)</f>
        <v>50227917</v>
      </c>
      <c r="J41" s="117"/>
      <c r="K41" s="117"/>
      <c r="L41" s="117"/>
      <c r="M41" s="117"/>
      <c r="N41" s="117"/>
      <c r="O41" s="117"/>
      <c r="P41" s="117"/>
      <c r="Q41" s="117"/>
      <c r="R41" s="117"/>
      <c r="S41" s="117"/>
      <c r="T41" s="117"/>
      <c r="U41" s="117"/>
      <c r="V41" s="117"/>
      <c r="W41" s="117"/>
      <c r="X41" s="117"/>
      <c r="Y41" s="117"/>
      <c r="Z41" s="117"/>
    </row>
    <row r="42" spans="1:26" s="172" customFormat="1" ht="14.4" thickTop="1">
      <c r="A42" s="43" t="s">
        <v>98</v>
      </c>
      <c r="B42" s="43"/>
      <c r="C42" s="85"/>
      <c r="D42" s="85"/>
      <c r="E42" s="85"/>
      <c r="F42" s="85"/>
      <c r="G42" s="85"/>
      <c r="H42" s="85"/>
      <c r="I42" s="85"/>
      <c r="J42" s="117"/>
      <c r="K42" s="117"/>
      <c r="L42" s="117"/>
      <c r="M42" s="117"/>
      <c r="N42" s="117"/>
      <c r="O42" s="117"/>
      <c r="P42" s="117"/>
      <c r="Q42" s="117"/>
      <c r="R42" s="117"/>
      <c r="S42" s="117"/>
      <c r="T42" s="117"/>
      <c r="U42" s="117"/>
      <c r="V42" s="117"/>
      <c r="W42" s="117"/>
      <c r="X42" s="117"/>
      <c r="Y42" s="117"/>
      <c r="Z42" s="117"/>
    </row>
    <row r="43" spans="1:26" s="173" customFormat="1">
      <c r="A43" s="43" t="s">
        <v>7</v>
      </c>
      <c r="B43" s="43"/>
      <c r="C43" s="85">
        <f t="shared" ref="C43:H43" si="15">C41+C30</f>
        <v>42053953</v>
      </c>
      <c r="D43" s="85">
        <f t="shared" si="15"/>
        <v>1203068153</v>
      </c>
      <c r="E43" s="85">
        <f t="shared" si="15"/>
        <v>5597067962</v>
      </c>
      <c r="F43" s="85">
        <f t="shared" si="15"/>
        <v>24962531062</v>
      </c>
      <c r="G43" s="85">
        <f t="shared" si="15"/>
        <v>183649709423</v>
      </c>
      <c r="H43" s="85">
        <f t="shared" si="15"/>
        <v>85784666</v>
      </c>
      <c r="I43" s="85">
        <f t="shared" ref="I43" si="16">I41+I30</f>
        <v>79642191</v>
      </c>
      <c r="J43" s="117"/>
      <c r="K43" s="117"/>
      <c r="L43" s="117"/>
      <c r="M43" s="117"/>
      <c r="N43" s="117"/>
      <c r="O43" s="117"/>
      <c r="P43" s="117"/>
      <c r="Q43" s="117"/>
      <c r="R43" s="117"/>
      <c r="S43" s="117"/>
      <c r="T43" s="117"/>
      <c r="U43" s="117"/>
      <c r="V43" s="117"/>
      <c r="W43" s="117"/>
      <c r="X43" s="117"/>
      <c r="Y43" s="117"/>
      <c r="Z43" s="117"/>
    </row>
    <row r="44" spans="1:26" s="173" customFormat="1">
      <c r="A44" s="43" t="s">
        <v>114</v>
      </c>
      <c r="B44" s="43"/>
      <c r="C44" s="16"/>
      <c r="D44" s="16"/>
      <c r="E44" s="16"/>
      <c r="F44" s="16"/>
      <c r="G44" s="16"/>
      <c r="H44" s="16"/>
      <c r="I44" s="16"/>
      <c r="J44" s="117"/>
      <c r="K44" s="117"/>
      <c r="L44" s="117"/>
      <c r="M44" s="117"/>
      <c r="N44" s="117"/>
      <c r="O44" s="117"/>
      <c r="P44" s="117"/>
      <c r="Q44" s="117"/>
      <c r="R44" s="117"/>
      <c r="S44" s="117"/>
      <c r="T44" s="117"/>
      <c r="U44" s="117"/>
      <c r="V44" s="117"/>
      <c r="W44" s="117"/>
      <c r="X44" s="117"/>
      <c r="Y44" s="117"/>
      <c r="Z44" s="117"/>
    </row>
    <row r="45" spans="1:26" s="173" customFormat="1">
      <c r="A45" s="38" t="s">
        <v>16</v>
      </c>
      <c r="B45" s="38"/>
      <c r="C45" s="16">
        <v>2331824</v>
      </c>
      <c r="D45" s="16">
        <v>38175761</v>
      </c>
      <c r="E45" s="16">
        <v>78887924</v>
      </c>
      <c r="F45" s="16">
        <v>230011052</v>
      </c>
      <c r="G45" s="16">
        <v>1126983957</v>
      </c>
      <c r="H45" s="16">
        <v>2316175</v>
      </c>
      <c r="I45" s="16">
        <v>2316175</v>
      </c>
      <c r="J45" s="117"/>
      <c r="K45" s="117"/>
      <c r="L45" s="117"/>
      <c r="M45" s="117"/>
      <c r="N45" s="117"/>
      <c r="O45" s="117"/>
      <c r="P45" s="117"/>
      <c r="Q45" s="117"/>
      <c r="R45" s="117"/>
      <c r="S45" s="117"/>
      <c r="T45" s="117"/>
      <c r="U45" s="117"/>
      <c r="V45" s="117"/>
      <c r="W45" s="117"/>
      <c r="X45" s="117"/>
      <c r="Y45" s="117"/>
      <c r="Z45" s="117"/>
    </row>
    <row r="46" spans="1:26" s="174" customFormat="1">
      <c r="A46" s="38" t="s">
        <v>96</v>
      </c>
      <c r="B46" s="38"/>
      <c r="C46" s="16">
        <v>405428</v>
      </c>
      <c r="D46" s="16">
        <v>14369668</v>
      </c>
      <c r="E46" s="16">
        <v>29694059</v>
      </c>
      <c r="F46" s="16">
        <v>86578038</v>
      </c>
      <c r="G46" s="16">
        <v>424205957</v>
      </c>
      <c r="H46" s="16">
        <v>455177</v>
      </c>
      <c r="I46" s="16">
        <v>455177</v>
      </c>
      <c r="J46" s="393"/>
      <c r="K46" s="117"/>
      <c r="L46" s="117"/>
      <c r="M46" s="117"/>
      <c r="N46" s="117"/>
      <c r="O46" s="117"/>
      <c r="P46" s="117"/>
      <c r="Q46" s="117"/>
      <c r="R46" s="117"/>
      <c r="S46" s="117"/>
      <c r="T46" s="117"/>
      <c r="U46" s="117"/>
      <c r="V46" s="117"/>
      <c r="W46" s="117"/>
      <c r="X46" s="117"/>
      <c r="Y46" s="117"/>
      <c r="Z46" s="117"/>
    </row>
    <row r="47" spans="1:26">
      <c r="A47" s="38" t="s">
        <v>280</v>
      </c>
      <c r="B47" s="38"/>
      <c r="C47" s="16">
        <v>10232276</v>
      </c>
      <c r="D47" s="16">
        <v>473739337</v>
      </c>
      <c r="E47" s="16">
        <v>1188919749</v>
      </c>
      <c r="F47" s="16">
        <v>3127406954</v>
      </c>
      <c r="G47" s="16">
        <v>30781384457</v>
      </c>
      <c r="H47" s="16">
        <v>7426896</v>
      </c>
      <c r="I47" s="16">
        <v>7393616</v>
      </c>
      <c r="J47" s="446"/>
    </row>
    <row r="48" spans="1:26" s="161" customFormat="1">
      <c r="A48" s="38" t="s">
        <v>281</v>
      </c>
      <c r="B48" s="38"/>
      <c r="C48" s="39"/>
      <c r="D48" s="39"/>
      <c r="E48" s="39"/>
      <c r="F48" s="39"/>
      <c r="G48" s="39"/>
      <c r="H48" s="39"/>
      <c r="I48" s="39"/>
      <c r="J48" s="450"/>
      <c r="K48" s="117"/>
      <c r="L48" s="117"/>
      <c r="M48" s="117"/>
      <c r="N48" s="117"/>
      <c r="O48" s="117"/>
      <c r="P48" s="117"/>
      <c r="Q48" s="117"/>
      <c r="R48" s="117"/>
      <c r="S48" s="117"/>
      <c r="T48" s="117"/>
      <c r="U48" s="117"/>
      <c r="V48" s="117"/>
      <c r="W48" s="117"/>
      <c r="X48" s="117"/>
      <c r="Y48" s="117"/>
      <c r="Z48" s="117"/>
    </row>
    <row r="49" spans="1:26" s="161" customFormat="1">
      <c r="A49" s="38" t="s">
        <v>156</v>
      </c>
      <c r="B49" s="38"/>
      <c r="C49" s="39"/>
      <c r="D49" s="39"/>
      <c r="E49" s="39"/>
      <c r="F49" s="39"/>
      <c r="G49" s="39"/>
      <c r="H49" s="39"/>
      <c r="I49" s="39"/>
      <c r="J49" s="117"/>
      <c r="K49" s="117"/>
      <c r="L49" s="117"/>
      <c r="M49" s="117"/>
      <c r="N49" s="117"/>
      <c r="O49" s="117"/>
      <c r="P49" s="117"/>
      <c r="Q49" s="117"/>
      <c r="R49" s="117"/>
      <c r="S49" s="117"/>
      <c r="T49" s="117"/>
      <c r="U49" s="117"/>
      <c r="V49" s="117"/>
      <c r="W49" s="117"/>
      <c r="X49" s="117"/>
      <c r="Y49" s="117"/>
      <c r="Z49" s="117"/>
    </row>
    <row r="50" spans="1:26">
      <c r="A50" s="38" t="s">
        <v>282</v>
      </c>
      <c r="B50" s="38"/>
      <c r="C50" s="16"/>
      <c r="D50" s="16"/>
      <c r="E50" s="16"/>
      <c r="F50" s="16"/>
      <c r="G50" s="16"/>
      <c r="H50" s="16"/>
      <c r="I50" s="16"/>
    </row>
    <row r="51" spans="1:26">
      <c r="A51" s="38" t="s">
        <v>400</v>
      </c>
      <c r="B51" s="38"/>
      <c r="C51" s="16">
        <v>3579150</v>
      </c>
      <c r="D51" s="16">
        <v>152795182</v>
      </c>
      <c r="E51" s="16">
        <v>710858124</v>
      </c>
      <c r="F51" s="16">
        <v>3911463129</v>
      </c>
      <c r="G51" s="16">
        <v>54504859077</v>
      </c>
      <c r="H51" s="16">
        <v>14028887</v>
      </c>
      <c r="I51" s="16">
        <v>17653291</v>
      </c>
    </row>
    <row r="52" spans="1:26">
      <c r="A52" s="38" t="s">
        <v>19</v>
      </c>
      <c r="B52" s="38"/>
      <c r="C52" s="41">
        <f t="shared" ref="C52:H52" si="17">SUM(C45:C51)</f>
        <v>16548678</v>
      </c>
      <c r="D52" s="41">
        <f t="shared" si="17"/>
        <v>679079948</v>
      </c>
      <c r="E52" s="41">
        <f t="shared" si="17"/>
        <v>2008359856</v>
      </c>
      <c r="F52" s="41">
        <f t="shared" si="17"/>
        <v>7355459173</v>
      </c>
      <c r="G52" s="41">
        <f t="shared" si="17"/>
        <v>86837433448</v>
      </c>
      <c r="H52" s="41">
        <f t="shared" si="17"/>
        <v>24227135</v>
      </c>
      <c r="I52" s="41">
        <f t="shared" ref="I52" si="18">SUM(I45:I51)</f>
        <v>27818259</v>
      </c>
    </row>
    <row r="53" spans="1:26">
      <c r="A53" s="38" t="s">
        <v>20</v>
      </c>
      <c r="B53" s="38"/>
      <c r="C53" s="5"/>
      <c r="D53" s="5"/>
      <c r="E53" s="5"/>
      <c r="F53" s="5"/>
      <c r="G53" s="5"/>
      <c r="H53" s="5"/>
      <c r="I53" s="5"/>
    </row>
    <row r="54" spans="1:26">
      <c r="A54" s="90" t="s">
        <v>21</v>
      </c>
      <c r="B54" s="90"/>
      <c r="C54" s="91">
        <f t="shared" ref="C54:H54" si="19">C52+C53</f>
        <v>16548678</v>
      </c>
      <c r="D54" s="91">
        <f t="shared" si="19"/>
        <v>679079948</v>
      </c>
      <c r="E54" s="91">
        <f t="shared" si="19"/>
        <v>2008359856</v>
      </c>
      <c r="F54" s="91">
        <f t="shared" si="19"/>
        <v>7355459173</v>
      </c>
      <c r="G54" s="91">
        <f t="shared" si="19"/>
        <v>86837433448</v>
      </c>
      <c r="H54" s="91">
        <f t="shared" si="19"/>
        <v>24227135</v>
      </c>
      <c r="I54" s="91">
        <f t="shared" ref="I54" si="20">I52+I53</f>
        <v>27818259</v>
      </c>
    </row>
    <row r="55" spans="1:26" s="117" customFormat="1">
      <c r="A55" s="43"/>
      <c r="B55" s="43"/>
      <c r="C55" s="16"/>
      <c r="D55" s="16"/>
      <c r="E55" s="16"/>
      <c r="F55" s="16"/>
      <c r="G55" s="16"/>
      <c r="H55" s="16"/>
      <c r="I55" s="16"/>
    </row>
    <row r="56" spans="1:26">
      <c r="A56" s="38" t="s">
        <v>17</v>
      </c>
      <c r="B56" s="38"/>
      <c r="C56" s="16">
        <v>2312928</v>
      </c>
      <c r="D56" s="16">
        <v>144495370</v>
      </c>
      <c r="E56" s="16">
        <v>378505523</v>
      </c>
      <c r="F56" s="16">
        <v>1929050552</v>
      </c>
      <c r="G56" s="16">
        <v>21928416419</v>
      </c>
      <c r="H56" s="16">
        <v>7861646</v>
      </c>
      <c r="I56" s="16">
        <v>9106460</v>
      </c>
    </row>
    <row r="57" spans="1:26">
      <c r="A57" s="38" t="s">
        <v>152</v>
      </c>
      <c r="B57" s="38"/>
      <c r="C57" s="16"/>
      <c r="D57" s="16"/>
      <c r="E57" s="16"/>
      <c r="F57" s="16"/>
      <c r="G57" s="16"/>
      <c r="H57" s="16"/>
      <c r="I57" s="16"/>
    </row>
    <row r="58" spans="1:26" s="174" customFormat="1">
      <c r="A58" s="38" t="s">
        <v>406</v>
      </c>
      <c r="B58" s="38"/>
      <c r="C58" s="16">
        <v>414796</v>
      </c>
      <c r="D58" s="16">
        <v>656090</v>
      </c>
      <c r="E58" s="16"/>
      <c r="F58" s="16"/>
      <c r="G58" s="16"/>
      <c r="H58" s="16"/>
      <c r="I58" s="16"/>
      <c r="J58" s="117"/>
      <c r="K58" s="117"/>
      <c r="L58" s="117"/>
      <c r="M58" s="117"/>
      <c r="N58" s="117"/>
      <c r="O58" s="117"/>
      <c r="P58" s="117"/>
      <c r="Q58" s="117"/>
      <c r="R58" s="117"/>
      <c r="S58" s="117"/>
      <c r="T58" s="117"/>
      <c r="U58" s="117"/>
      <c r="V58" s="117"/>
      <c r="W58" s="117"/>
      <c r="X58" s="117"/>
      <c r="Y58" s="117"/>
      <c r="Z58" s="117"/>
    </row>
    <row r="59" spans="1:26">
      <c r="A59" s="38" t="s">
        <v>95</v>
      </c>
      <c r="B59" s="38"/>
      <c r="C59" s="39">
        <v>200000</v>
      </c>
      <c r="D59" s="39">
        <v>6022068</v>
      </c>
      <c r="E59" s="39">
        <v>30318524</v>
      </c>
      <c r="F59" s="39"/>
      <c r="G59" s="39"/>
      <c r="H59" s="39"/>
      <c r="I59" s="39"/>
    </row>
    <row r="60" spans="1:26">
      <c r="A60" s="90" t="s">
        <v>18</v>
      </c>
      <c r="B60" s="90"/>
      <c r="C60" s="91">
        <f t="shared" ref="C60:G60" si="21">SUM(C56:C59)</f>
        <v>2927724</v>
      </c>
      <c r="D60" s="91">
        <f t="shared" si="21"/>
        <v>151173528</v>
      </c>
      <c r="E60" s="91">
        <f t="shared" si="21"/>
        <v>408824047</v>
      </c>
      <c r="F60" s="91">
        <f t="shared" si="21"/>
        <v>1929050552</v>
      </c>
      <c r="G60" s="91">
        <f t="shared" si="21"/>
        <v>21928416419</v>
      </c>
      <c r="H60" s="91">
        <v>7861646</v>
      </c>
      <c r="I60" s="91">
        <f t="shared" ref="I60" si="22">SUM(I56:I59)</f>
        <v>9106460</v>
      </c>
    </row>
    <row r="61" spans="1:26">
      <c r="A61" s="43" t="s">
        <v>40</v>
      </c>
      <c r="B61" s="43"/>
      <c r="C61" s="42"/>
      <c r="D61" s="42"/>
      <c r="E61" s="42"/>
      <c r="F61" s="42"/>
      <c r="G61" s="42"/>
      <c r="H61" s="42"/>
      <c r="I61" s="42"/>
    </row>
    <row r="62" spans="1:26">
      <c r="A62" s="38" t="s">
        <v>97</v>
      </c>
      <c r="B62" s="38"/>
      <c r="C62" s="39"/>
      <c r="D62" s="39"/>
      <c r="E62" s="39"/>
      <c r="F62" s="39"/>
      <c r="G62" s="39"/>
      <c r="H62" s="39"/>
      <c r="I62" s="39"/>
    </row>
    <row r="63" spans="1:26">
      <c r="A63" s="38" t="s">
        <v>283</v>
      </c>
      <c r="B63" s="38"/>
      <c r="C63" s="16"/>
      <c r="D63" s="16"/>
      <c r="E63" s="16"/>
      <c r="F63" s="16"/>
      <c r="G63" s="16"/>
      <c r="H63" s="16"/>
      <c r="I63" s="16"/>
    </row>
    <row r="64" spans="1:26">
      <c r="A64" s="38" t="s">
        <v>95</v>
      </c>
      <c r="B64" s="38"/>
      <c r="C64" s="16">
        <v>644857</v>
      </c>
      <c r="D64" s="16">
        <v>5195650</v>
      </c>
      <c r="E64" s="16">
        <v>125658532</v>
      </c>
      <c r="F64" s="16">
        <v>725271918</v>
      </c>
      <c r="G64" s="16">
        <v>1323713920</v>
      </c>
      <c r="H64" s="16">
        <v>1880547</v>
      </c>
      <c r="I64" s="16">
        <v>1265615</v>
      </c>
    </row>
    <row r="65" spans="1:26">
      <c r="A65" s="38" t="s">
        <v>39</v>
      </c>
      <c r="B65" s="38"/>
      <c r="C65" s="16">
        <v>21419875</v>
      </c>
      <c r="D65" s="16">
        <v>367141607</v>
      </c>
      <c r="E65" s="16">
        <v>3054175234</v>
      </c>
      <c r="F65" s="16">
        <v>14952749419</v>
      </c>
      <c r="G65" s="16">
        <v>73560145636</v>
      </c>
      <c r="H65" s="16">
        <v>51815338</v>
      </c>
      <c r="I65" s="16">
        <v>41451857</v>
      </c>
    </row>
    <row r="66" spans="1:26">
      <c r="A66" s="38" t="s">
        <v>406</v>
      </c>
      <c r="B66" s="38"/>
      <c r="C66" s="16">
        <v>512910</v>
      </c>
      <c r="D66" s="16">
        <v>477420</v>
      </c>
      <c r="E66" s="16">
        <v>50293</v>
      </c>
      <c r="F66" s="16"/>
      <c r="G66" s="16"/>
      <c r="H66" s="16"/>
      <c r="I66" s="16"/>
    </row>
    <row r="67" spans="1:26" s="178" customFormat="1" ht="14.4" thickBot="1">
      <c r="A67" s="38" t="s">
        <v>407</v>
      </c>
      <c r="B67" s="38"/>
      <c r="C67" s="16"/>
      <c r="D67" s="16"/>
      <c r="E67" s="16"/>
      <c r="F67" s="16"/>
      <c r="G67" s="16"/>
      <c r="H67" s="16"/>
      <c r="I67" s="16"/>
      <c r="J67" s="117"/>
      <c r="K67" s="117"/>
      <c r="L67" s="117"/>
      <c r="M67" s="117"/>
      <c r="N67" s="117"/>
      <c r="O67" s="117"/>
      <c r="P67" s="117"/>
      <c r="Q67" s="117"/>
      <c r="R67" s="117"/>
      <c r="S67" s="117"/>
      <c r="T67" s="117"/>
      <c r="U67" s="117"/>
      <c r="V67" s="117"/>
      <c r="W67" s="117"/>
      <c r="X67" s="117"/>
      <c r="Y67" s="117"/>
      <c r="Z67" s="117"/>
    </row>
    <row r="68" spans="1:26" s="171" customFormat="1" ht="14.4" thickTop="1">
      <c r="A68" s="38" t="s">
        <v>115</v>
      </c>
      <c r="B68" s="38"/>
      <c r="C68" s="56"/>
      <c r="D68" s="56"/>
      <c r="E68" s="56"/>
      <c r="F68" s="56"/>
      <c r="G68" s="56"/>
      <c r="H68" s="56"/>
      <c r="I68" s="56"/>
      <c r="J68" s="117"/>
      <c r="K68" s="117"/>
      <c r="L68" s="117"/>
      <c r="M68" s="117"/>
      <c r="N68" s="117"/>
      <c r="O68" s="117"/>
      <c r="P68" s="117"/>
      <c r="Q68" s="117"/>
      <c r="R68" s="117"/>
      <c r="S68" s="117"/>
      <c r="T68" s="117"/>
      <c r="U68" s="117"/>
      <c r="V68" s="117"/>
      <c r="W68" s="117"/>
      <c r="X68" s="117"/>
      <c r="Y68" s="117"/>
      <c r="Z68" s="117"/>
    </row>
    <row r="69" spans="1:26" s="171" customFormat="1">
      <c r="A69" s="90" t="s">
        <v>22</v>
      </c>
      <c r="B69" s="90"/>
      <c r="C69" s="91">
        <f t="shared" ref="C69:H69" si="23">SUM(C61:C67)</f>
        <v>22577642</v>
      </c>
      <c r="D69" s="91">
        <f t="shared" si="23"/>
        <v>372814677</v>
      </c>
      <c r="E69" s="91">
        <f t="shared" si="23"/>
        <v>3179884059</v>
      </c>
      <c r="F69" s="91">
        <f t="shared" si="23"/>
        <v>15678021337</v>
      </c>
      <c r="G69" s="91">
        <f t="shared" si="23"/>
        <v>74883859556</v>
      </c>
      <c r="H69" s="91">
        <f t="shared" si="23"/>
        <v>53695885</v>
      </c>
      <c r="I69" s="91">
        <f t="shared" ref="I69" si="24">SUM(I61:I67)</f>
        <v>42717472</v>
      </c>
      <c r="J69" s="117"/>
      <c r="K69" s="117"/>
      <c r="L69" s="117"/>
      <c r="M69" s="117"/>
      <c r="N69" s="117"/>
      <c r="O69" s="117"/>
      <c r="P69" s="117"/>
      <c r="Q69" s="117"/>
      <c r="R69" s="117"/>
      <c r="S69" s="117"/>
      <c r="T69" s="117"/>
      <c r="U69" s="117"/>
      <c r="V69" s="117"/>
      <c r="W69" s="117"/>
      <c r="X69" s="117"/>
      <c r="Y69" s="117"/>
      <c r="Z69" s="117"/>
    </row>
    <row r="70" spans="1:26" ht="14.4" thickBot="1">
      <c r="A70" s="93" t="s">
        <v>23</v>
      </c>
      <c r="B70" s="93"/>
      <c r="C70" s="94">
        <f t="shared" ref="C70:H70" si="25">C69+C60</f>
        <v>25505366</v>
      </c>
      <c r="D70" s="94">
        <f t="shared" si="25"/>
        <v>523988205</v>
      </c>
      <c r="E70" s="94">
        <f t="shared" si="25"/>
        <v>3588708106</v>
      </c>
      <c r="F70" s="94">
        <f t="shared" si="25"/>
        <v>17607071889</v>
      </c>
      <c r="G70" s="94">
        <f t="shared" si="25"/>
        <v>96812275975</v>
      </c>
      <c r="H70" s="94">
        <f t="shared" si="25"/>
        <v>61557531</v>
      </c>
      <c r="I70" s="94">
        <f t="shared" ref="I70" si="26">I69+I60</f>
        <v>51823932</v>
      </c>
    </row>
    <row r="71" spans="1:26" ht="14.4" thickTop="1">
      <c r="A71" s="43" t="s">
        <v>99</v>
      </c>
      <c r="B71" s="43"/>
      <c r="C71" s="85">
        <f t="shared" ref="C71:H71" si="27">C70+C54</f>
        <v>42054044</v>
      </c>
      <c r="D71" s="85">
        <f t="shared" si="27"/>
        <v>1203068153</v>
      </c>
      <c r="E71" s="85">
        <f t="shared" si="27"/>
        <v>5597067962</v>
      </c>
      <c r="F71" s="85">
        <f t="shared" si="27"/>
        <v>24962531062</v>
      </c>
      <c r="G71" s="85">
        <f t="shared" si="27"/>
        <v>183649709423</v>
      </c>
      <c r="H71" s="85">
        <f t="shared" si="27"/>
        <v>85784666</v>
      </c>
      <c r="I71" s="85">
        <f t="shared" ref="I71" si="28">I70+I54</f>
        <v>79642191</v>
      </c>
    </row>
    <row r="72" spans="1:26">
      <c r="A72" s="168" t="s">
        <v>264</v>
      </c>
      <c r="B72" s="169"/>
      <c r="C72" s="165">
        <f t="shared" ref="C72:H72" si="29">C64+C66+C59+C58+C54-C38</f>
        <v>14532360</v>
      </c>
      <c r="D72" s="165">
        <f t="shared" si="29"/>
        <v>660448260</v>
      </c>
      <c r="E72" s="165">
        <f t="shared" si="29"/>
        <v>1877250092</v>
      </c>
      <c r="F72" s="165">
        <f t="shared" si="29"/>
        <v>4228975694</v>
      </c>
      <c r="G72" s="165">
        <f t="shared" si="29"/>
        <v>83698039971</v>
      </c>
      <c r="H72" s="165">
        <f t="shared" si="29"/>
        <v>23375982</v>
      </c>
      <c r="I72" s="165">
        <f t="shared" ref="I72" si="30">I64+I66+I59+I58+I54-I38</f>
        <v>26918415</v>
      </c>
    </row>
    <row r="73" spans="1:26">
      <c r="A73" s="168"/>
      <c r="B73" s="169"/>
      <c r="C73" s="169"/>
      <c r="D73" s="165"/>
      <c r="E73" s="165"/>
      <c r="F73" s="165"/>
      <c r="G73" s="165"/>
      <c r="H73" s="165"/>
      <c r="I73" s="165"/>
    </row>
    <row r="74" spans="1:26">
      <c r="A74" s="168" t="s">
        <v>11</v>
      </c>
      <c r="B74" s="388" t="e">
        <f t="shared" ref="B74:G74" si="31">B13*(1-B21)/B72*2</f>
        <v>#DIV/0!</v>
      </c>
      <c r="C74" s="388">
        <f t="shared" si="31"/>
        <v>0.10576667769270563</v>
      </c>
      <c r="D74" s="388">
        <f t="shared" si="31"/>
        <v>0.4026481944870306</v>
      </c>
      <c r="E74" s="388">
        <f t="shared" si="31"/>
        <v>1.0335113422280608</v>
      </c>
      <c r="F74" s="388">
        <f t="shared" si="31"/>
        <v>0.93017158684323242</v>
      </c>
      <c r="G74" s="388">
        <f t="shared" si="31"/>
        <v>0.68001615516518676</v>
      </c>
      <c r="H74" s="388">
        <f>H13*(1-H21)/H72*2</f>
        <v>0.12218716419334369</v>
      </c>
      <c r="I74" s="388">
        <f>I13*(1-I21)/I72*2</f>
        <v>0.27804661337901654</v>
      </c>
    </row>
    <row r="75" spans="1:26">
      <c r="A75" s="168" t="s">
        <v>192</v>
      </c>
      <c r="B75" s="169"/>
      <c r="C75" s="169"/>
      <c r="D75" s="165"/>
      <c r="E75" s="165">
        <f>E77*E76/100</f>
        <v>246486781.13999999</v>
      </c>
      <c r="F75" s="165">
        <f>F77*F76/100</f>
        <v>9670933023.3985996</v>
      </c>
      <c r="G75" s="165">
        <f>G77*G76/100</f>
        <v>12082685350</v>
      </c>
      <c r="H75" s="165">
        <f>H77*H76/100</f>
        <v>194480486856.53</v>
      </c>
      <c r="I75" s="459">
        <f>I76*I77</f>
        <v>22232141.044</v>
      </c>
      <c r="J75" s="117">
        <f>I75/I77</f>
        <v>9.1999999999999998E-2</v>
      </c>
    </row>
    <row r="76" spans="1:26">
      <c r="A76" s="168" t="s">
        <v>429</v>
      </c>
      <c r="B76" s="169"/>
      <c r="C76" s="169"/>
      <c r="D76" s="165"/>
      <c r="E76" s="165">
        <v>102</v>
      </c>
      <c r="F76" s="165">
        <v>4001.98</v>
      </c>
      <c r="G76" s="165">
        <v>5000</v>
      </c>
      <c r="H76" s="165">
        <v>80479</v>
      </c>
      <c r="I76" s="459">
        <f>(230/100)/25</f>
        <v>9.1999999999999998E-2</v>
      </c>
    </row>
    <row r="77" spans="1:26">
      <c r="A77" s="168" t="s">
        <v>430</v>
      </c>
      <c r="B77" s="169"/>
      <c r="C77" s="169"/>
      <c r="D77" s="165"/>
      <c r="E77" s="165">
        <v>241653707</v>
      </c>
      <c r="F77" s="165">
        <v>241653707</v>
      </c>
      <c r="G77" s="165">
        <v>241653707</v>
      </c>
      <c r="H77" s="165">
        <v>241653707</v>
      </c>
      <c r="I77" s="165">
        <v>241653707</v>
      </c>
    </row>
    <row r="78" spans="1:26">
      <c r="A78" s="168" t="s">
        <v>458</v>
      </c>
      <c r="B78" s="164"/>
      <c r="C78" s="164"/>
      <c r="D78" s="421" t="e">
        <f t="shared" ref="D78:F78" si="32">(D38-D59-D64)/D77*100</f>
        <v>#DIV/0!</v>
      </c>
      <c r="E78" s="421">
        <f t="shared" si="32"/>
        <v>54.276037652507434</v>
      </c>
      <c r="F78" s="421">
        <f t="shared" si="32"/>
        <v>1293.7866825274898</v>
      </c>
      <c r="G78" s="421">
        <f>(G38-G59-G64)/G77*100</f>
        <v>1299.1290371556354</v>
      </c>
      <c r="H78" s="421">
        <f>(H38-H59-H64)/H77*100</f>
        <v>0.35222012960885385</v>
      </c>
      <c r="I78" s="421">
        <f>(I38-I59-I64)/I77*100</f>
        <v>0.37236921012761459</v>
      </c>
    </row>
    <row r="79" spans="1:26">
      <c r="A79" s="168"/>
      <c r="B79" s="180"/>
      <c r="C79" s="180"/>
      <c r="D79" s="181"/>
      <c r="E79" s="181"/>
      <c r="F79" s="181"/>
      <c r="G79" s="181"/>
      <c r="H79" s="181"/>
      <c r="I79" s="181"/>
    </row>
    <row r="80" spans="1:26" s="184" customFormat="1">
      <c r="A80" s="182"/>
      <c r="B80" s="183"/>
      <c r="C80" s="183"/>
      <c r="D80" s="183"/>
      <c r="E80" s="183"/>
      <c r="F80" s="183"/>
      <c r="G80" s="183"/>
      <c r="H80" s="183"/>
      <c r="I80" s="183"/>
      <c r="J80" s="117"/>
      <c r="K80" s="117"/>
      <c r="L80" s="117"/>
      <c r="M80" s="117"/>
      <c r="N80" s="117"/>
      <c r="O80" s="117"/>
      <c r="P80" s="117"/>
      <c r="Q80" s="117"/>
      <c r="R80" s="117"/>
      <c r="S80" s="117"/>
      <c r="T80" s="117"/>
      <c r="U80" s="117"/>
      <c r="V80" s="117"/>
      <c r="W80" s="117"/>
      <c r="X80" s="117"/>
      <c r="Y80" s="117"/>
      <c r="Z80" s="117"/>
    </row>
    <row r="81" spans="1:26">
      <c r="A81" s="163" t="s">
        <v>121</v>
      </c>
      <c r="B81" s="169"/>
      <c r="C81" s="169"/>
      <c r="D81" s="165">
        <v>-345727700</v>
      </c>
      <c r="E81" s="165">
        <v>-44630616</v>
      </c>
      <c r="F81" s="159">
        <v>-114000000</v>
      </c>
      <c r="G81" s="159">
        <v>1400000000</v>
      </c>
      <c r="H81" s="445">
        <v>-823592</v>
      </c>
      <c r="I81" s="445">
        <v>-174173</v>
      </c>
    </row>
    <row r="82" spans="1:26">
      <c r="A82" s="168" t="s">
        <v>419</v>
      </c>
      <c r="B82" s="169"/>
      <c r="C82" s="169"/>
      <c r="D82" s="165">
        <v>40379991</v>
      </c>
      <c r="E82" s="165">
        <v>40379991</v>
      </c>
      <c r="F82" s="165">
        <f>-F12</f>
        <v>233337964</v>
      </c>
      <c r="G82" s="165">
        <f>-G12</f>
        <v>1375215691</v>
      </c>
      <c r="H82" s="165">
        <f>-H12</f>
        <v>740093</v>
      </c>
      <c r="I82" s="165">
        <f>-I12</f>
        <v>2232633</v>
      </c>
    </row>
    <row r="83" spans="1:26">
      <c r="A83" s="168" t="s">
        <v>431</v>
      </c>
      <c r="B83" s="180"/>
      <c r="C83" s="180"/>
      <c r="D83" s="181"/>
      <c r="E83" s="181">
        <f>98069623-135895284+34409429</f>
        <v>-3416232</v>
      </c>
      <c r="F83" s="181">
        <f>-(F32-E32)-(F35-E35)+(F65-E65)</f>
        <v>2409389208</v>
      </c>
      <c r="G83" s="181">
        <f>-(G32-F32)-(G35-F35)+(G65-F65)</f>
        <v>-20704517145</v>
      </c>
      <c r="H83" s="181">
        <f>-(H32-G32)-(H35-G35)+(H65-G65)</f>
        <v>18683024008</v>
      </c>
      <c r="I83" s="181">
        <f>-(I32-H32)-(I35-H35)+(I65-H65)</f>
        <v>-6882613</v>
      </c>
    </row>
    <row r="84" spans="1:26" s="186" customFormat="1">
      <c r="A84" s="182" t="s">
        <v>269</v>
      </c>
      <c r="B84" s="183"/>
      <c r="C84" s="183"/>
      <c r="D84" s="185"/>
      <c r="E84" s="185">
        <f>E81+E82+E83</f>
        <v>-7666857</v>
      </c>
      <c r="F84" s="185">
        <f>F82+F81+F83</f>
        <v>2528727172</v>
      </c>
      <c r="G84" s="185">
        <f>G82+G81+G83</f>
        <v>-17929301454</v>
      </c>
      <c r="H84" s="185">
        <f>H82+H81+H83</f>
        <v>18682940509</v>
      </c>
      <c r="I84" s="185">
        <f>I82+I81+I83</f>
        <v>-4824153</v>
      </c>
      <c r="J84" s="117"/>
      <c r="K84" s="117"/>
      <c r="L84" s="117"/>
      <c r="M84" s="117"/>
      <c r="N84" s="117"/>
      <c r="O84" s="117"/>
      <c r="P84" s="117"/>
      <c r="Q84" s="117"/>
      <c r="R84" s="117"/>
      <c r="S84" s="117"/>
      <c r="T84" s="117"/>
      <c r="U84" s="117"/>
      <c r="V84" s="117"/>
      <c r="W84" s="117"/>
      <c r="X84" s="117"/>
      <c r="Y84" s="117"/>
      <c r="Z84" s="117"/>
    </row>
    <row r="85" spans="1:26" s="171" customFormat="1">
      <c r="A85" s="163" t="s">
        <v>432</v>
      </c>
      <c r="B85" s="169"/>
      <c r="C85" s="169"/>
      <c r="D85" s="170"/>
      <c r="E85" s="397">
        <f>E84/E3</f>
        <v>-5.5697435478568053E-3</v>
      </c>
      <c r="F85" s="397">
        <f>F84/F3</f>
        <v>0.40004067325979165</v>
      </c>
      <c r="G85" s="397">
        <f>G84/G3</f>
        <v>-0.37638445025431583</v>
      </c>
      <c r="H85" s="397">
        <f>H84/H3</f>
        <v>773.6546504875721</v>
      </c>
      <c r="I85" s="397">
        <f>I84/I3</f>
        <v>-0.15309690555394728</v>
      </c>
      <c r="J85" s="117"/>
      <c r="K85" s="117"/>
      <c r="L85" s="117"/>
      <c r="M85" s="117"/>
      <c r="N85" s="117"/>
      <c r="O85" s="117"/>
      <c r="P85" s="117"/>
      <c r="Q85" s="117"/>
      <c r="R85" s="117"/>
      <c r="S85" s="117"/>
      <c r="T85" s="117"/>
      <c r="U85" s="117"/>
      <c r="V85" s="117"/>
      <c r="W85" s="117"/>
      <c r="X85" s="117"/>
      <c r="Y85" s="117"/>
      <c r="Z85" s="117"/>
    </row>
    <row r="86" spans="1:26" s="171" customFormat="1">
      <c r="A86" s="168"/>
      <c r="B86" s="169"/>
      <c r="C86" s="169"/>
      <c r="D86" s="170"/>
      <c r="E86" s="397"/>
      <c r="F86" s="397"/>
      <c r="G86" s="397"/>
      <c r="H86" s="397"/>
      <c r="I86" s="397"/>
      <c r="J86" s="117"/>
      <c r="K86" s="117"/>
      <c r="L86" s="117"/>
      <c r="M86" s="117"/>
      <c r="N86" s="117"/>
      <c r="O86" s="117"/>
      <c r="P86" s="117"/>
      <c r="Q86" s="117"/>
      <c r="R86" s="117"/>
      <c r="S86" s="117"/>
      <c r="T86" s="117"/>
      <c r="U86" s="117"/>
      <c r="V86" s="117"/>
      <c r="W86" s="117"/>
      <c r="X86" s="117"/>
      <c r="Y86" s="117"/>
      <c r="Z86" s="117"/>
    </row>
    <row r="87" spans="1:26">
      <c r="A87" s="168"/>
      <c r="B87" s="169"/>
      <c r="C87" s="169"/>
      <c r="D87" s="165"/>
      <c r="E87" s="165"/>
      <c r="F87" s="165"/>
      <c r="G87" s="165"/>
      <c r="H87" s="165"/>
      <c r="I87" s="165"/>
    </row>
    <row r="88" spans="1:26">
      <c r="A88" s="168"/>
      <c r="B88" s="169"/>
      <c r="C88" s="169"/>
      <c r="D88" s="165"/>
      <c r="E88" s="165"/>
      <c r="F88" s="165"/>
      <c r="G88" s="165"/>
      <c r="H88" s="165"/>
      <c r="I88" s="165"/>
    </row>
    <row r="89" spans="1:26">
      <c r="A89" s="168"/>
      <c r="B89" s="169"/>
      <c r="C89" s="169"/>
      <c r="D89" s="165"/>
      <c r="E89" s="165"/>
      <c r="F89" s="165"/>
      <c r="G89" s="165"/>
      <c r="H89" s="165"/>
      <c r="I89" s="165"/>
    </row>
    <row r="90" spans="1:26">
      <c r="A90" s="168"/>
      <c r="B90" s="169"/>
      <c r="C90" s="169"/>
      <c r="D90" s="165"/>
      <c r="E90" s="165"/>
      <c r="F90" s="165"/>
      <c r="G90" s="165"/>
      <c r="H90" s="165"/>
      <c r="I90" s="165"/>
    </row>
    <row r="91" spans="1:26">
      <c r="A91" s="168"/>
      <c r="B91" s="169"/>
      <c r="C91" s="169"/>
      <c r="D91" s="165"/>
      <c r="E91" s="165"/>
      <c r="F91" s="165"/>
      <c r="G91" s="165"/>
      <c r="H91" s="165"/>
      <c r="I91" s="165"/>
    </row>
    <row r="92" spans="1:26" s="186" customFormat="1">
      <c r="A92" s="182"/>
      <c r="B92" s="183"/>
      <c r="C92" s="183"/>
      <c r="D92" s="183"/>
      <c r="E92" s="183"/>
      <c r="F92" s="183"/>
      <c r="G92" s="183"/>
      <c r="H92" s="183"/>
      <c r="I92" s="183"/>
      <c r="J92" s="117"/>
      <c r="K92" s="117"/>
      <c r="L92" s="117"/>
      <c r="M92" s="117"/>
      <c r="N92" s="117"/>
      <c r="O92" s="117"/>
      <c r="P92" s="117"/>
      <c r="Q92" s="117"/>
      <c r="R92" s="117"/>
      <c r="S92" s="117"/>
      <c r="T92" s="117"/>
      <c r="U92" s="117"/>
      <c r="V92" s="117"/>
      <c r="W92" s="117"/>
      <c r="X92" s="117"/>
      <c r="Y92" s="117"/>
      <c r="Z92" s="117"/>
    </row>
    <row r="93" spans="1:26" s="171" customFormat="1">
      <c r="A93" s="163"/>
      <c r="B93" s="187"/>
      <c r="C93" s="187"/>
      <c r="D93" s="187"/>
      <c r="E93" s="187"/>
      <c r="F93" s="187"/>
      <c r="G93" s="187"/>
      <c r="H93" s="187"/>
      <c r="I93" s="187"/>
      <c r="J93" s="117"/>
      <c r="K93" s="117"/>
      <c r="L93" s="117"/>
      <c r="M93" s="117"/>
      <c r="N93" s="117"/>
      <c r="O93" s="117"/>
      <c r="P93" s="117"/>
      <c r="Q93" s="117"/>
      <c r="R93" s="117"/>
      <c r="S93" s="117"/>
      <c r="T93" s="117"/>
      <c r="U93" s="117"/>
      <c r="V93" s="117"/>
      <c r="W93" s="117"/>
      <c r="X93" s="117"/>
      <c r="Y93" s="117"/>
      <c r="Z93" s="117"/>
    </row>
    <row r="94" spans="1:26" s="191" customFormat="1" ht="14.4" thickBot="1">
      <c r="A94" s="188"/>
      <c r="B94" s="189"/>
      <c r="C94" s="189"/>
      <c r="D94" s="190"/>
      <c r="E94" s="190"/>
      <c r="F94" s="190"/>
      <c r="G94" s="190"/>
      <c r="H94" s="190"/>
      <c r="I94" s="190"/>
      <c r="J94" s="117"/>
      <c r="K94" s="117"/>
      <c r="L94" s="117"/>
      <c r="M94" s="117"/>
      <c r="N94" s="117"/>
      <c r="O94" s="117"/>
      <c r="P94" s="117"/>
      <c r="Q94" s="117"/>
      <c r="R94" s="117"/>
      <c r="S94" s="117"/>
      <c r="T94" s="117"/>
      <c r="U94" s="117"/>
      <c r="V94" s="117"/>
      <c r="W94" s="117"/>
      <c r="X94" s="117"/>
      <c r="Y94" s="117"/>
      <c r="Z94" s="117"/>
    </row>
    <row r="95" spans="1:26" s="171" customFormat="1" ht="14.4" thickTop="1">
      <c r="A95" s="163"/>
      <c r="B95" s="179"/>
      <c r="C95" s="179"/>
      <c r="D95" s="192"/>
      <c r="E95" s="192"/>
      <c r="F95" s="192"/>
      <c r="G95" s="192"/>
      <c r="H95" s="192"/>
      <c r="I95" s="192"/>
      <c r="J95" s="117"/>
      <c r="K95" s="117"/>
      <c r="L95" s="117"/>
      <c r="M95" s="117"/>
      <c r="N95" s="117"/>
      <c r="O95" s="117"/>
      <c r="P95" s="117"/>
      <c r="Q95" s="117"/>
      <c r="R95" s="117"/>
      <c r="S95" s="117"/>
      <c r="T95" s="117"/>
      <c r="U95" s="117"/>
      <c r="V95" s="117"/>
      <c r="W95" s="117"/>
      <c r="X95" s="117"/>
      <c r="Y95" s="117"/>
      <c r="Z95" s="117"/>
    </row>
    <row r="96" spans="1:26">
      <c r="A96" s="163"/>
    </row>
    <row r="97" spans="1:26" s="161" customFormat="1">
      <c r="A97" s="460"/>
      <c r="B97" s="193"/>
      <c r="C97" s="193"/>
      <c r="J97" s="117"/>
      <c r="K97" s="117"/>
      <c r="L97" s="117"/>
      <c r="M97" s="117"/>
      <c r="N97" s="117"/>
      <c r="O97" s="117"/>
      <c r="P97" s="117"/>
      <c r="Q97" s="117"/>
      <c r="R97" s="117"/>
      <c r="S97" s="117"/>
      <c r="T97" s="117"/>
      <c r="U97" s="117"/>
      <c r="V97" s="117"/>
      <c r="W97" s="117"/>
      <c r="X97" s="117"/>
      <c r="Y97" s="117"/>
      <c r="Z97" s="117"/>
    </row>
    <row r="98" spans="1:26" s="161" customFormat="1">
      <c r="A98" s="460"/>
      <c r="B98" s="176"/>
      <c r="C98" s="176"/>
      <c r="J98" s="117"/>
      <c r="K98" s="117"/>
      <c r="L98" s="117"/>
      <c r="M98" s="117"/>
      <c r="N98" s="117"/>
      <c r="O98" s="117"/>
      <c r="P98" s="117"/>
      <c r="Q98" s="117"/>
      <c r="R98" s="117"/>
      <c r="S98" s="117"/>
      <c r="T98" s="117"/>
      <c r="U98" s="117"/>
      <c r="V98" s="117"/>
      <c r="W98" s="117"/>
      <c r="X98" s="117"/>
      <c r="Y98" s="117"/>
      <c r="Z98" s="117"/>
    </row>
    <row r="99" spans="1:26" s="194" customFormat="1">
      <c r="A99" s="171"/>
      <c r="B99" s="180"/>
      <c r="C99" s="180"/>
      <c r="D99" s="180"/>
      <c r="E99" s="180"/>
      <c r="F99" s="180"/>
      <c r="G99" s="180"/>
      <c r="H99" s="180"/>
      <c r="I99" s="180"/>
      <c r="J99" s="117"/>
      <c r="K99" s="117"/>
      <c r="L99" s="117"/>
      <c r="M99" s="117"/>
      <c r="N99" s="117"/>
      <c r="O99" s="117"/>
      <c r="P99" s="117"/>
      <c r="Q99" s="117"/>
      <c r="R99" s="117"/>
      <c r="S99" s="117"/>
      <c r="T99" s="117"/>
      <c r="U99" s="117"/>
      <c r="V99" s="117"/>
      <c r="W99" s="117"/>
      <c r="X99" s="117"/>
      <c r="Y99" s="117"/>
      <c r="Z99" s="117"/>
    </row>
    <row r="100" spans="1:26" s="194" customFormat="1">
      <c r="A100" s="171"/>
      <c r="B100" s="180"/>
      <c r="C100" s="180"/>
      <c r="D100" s="180"/>
      <c r="E100" s="180"/>
      <c r="F100" s="180"/>
      <c r="G100" s="180"/>
      <c r="H100" s="180"/>
      <c r="I100" s="180"/>
      <c r="J100" s="117"/>
      <c r="K100" s="117"/>
      <c r="L100" s="117"/>
      <c r="M100" s="117"/>
      <c r="N100" s="117"/>
      <c r="O100" s="117"/>
      <c r="P100" s="117"/>
      <c r="Q100" s="117"/>
      <c r="R100" s="117"/>
      <c r="S100" s="117"/>
      <c r="T100" s="117"/>
      <c r="U100" s="117"/>
      <c r="V100" s="117"/>
      <c r="W100" s="117"/>
      <c r="X100" s="117"/>
      <c r="Y100" s="117"/>
      <c r="Z100" s="117"/>
    </row>
    <row r="101" spans="1:26" s="194" customFormat="1">
      <c r="A101" s="159"/>
      <c r="B101" s="180"/>
      <c r="C101" s="180"/>
      <c r="D101" s="180"/>
      <c r="E101" s="180"/>
      <c r="F101" s="180"/>
      <c r="G101" s="180"/>
      <c r="H101" s="180"/>
      <c r="I101" s="180"/>
      <c r="J101" s="117"/>
      <c r="K101" s="117"/>
      <c r="L101" s="117"/>
      <c r="M101" s="117"/>
      <c r="N101" s="117"/>
      <c r="O101" s="117"/>
      <c r="P101" s="117"/>
      <c r="Q101" s="117"/>
      <c r="R101" s="117"/>
      <c r="S101" s="117"/>
      <c r="T101" s="117"/>
      <c r="U101" s="117"/>
      <c r="V101" s="117"/>
      <c r="W101" s="117"/>
      <c r="X101" s="117"/>
      <c r="Y101" s="117"/>
      <c r="Z101" s="117"/>
    </row>
    <row r="102" spans="1:26" s="194" customFormat="1">
      <c r="A102" s="159"/>
      <c r="B102" s="180"/>
      <c r="C102" s="180"/>
      <c r="D102" s="180"/>
      <c r="E102" s="180"/>
      <c r="F102" s="180"/>
      <c r="G102" s="180"/>
      <c r="H102" s="180"/>
      <c r="I102" s="180"/>
      <c r="J102" s="117"/>
      <c r="K102" s="117"/>
      <c r="L102" s="117"/>
      <c r="M102" s="117"/>
      <c r="N102" s="117"/>
      <c r="O102" s="117"/>
      <c r="P102" s="117"/>
      <c r="Q102" s="117"/>
      <c r="R102" s="117"/>
      <c r="S102" s="117"/>
      <c r="T102" s="117"/>
      <c r="U102" s="117"/>
      <c r="V102" s="117"/>
      <c r="W102" s="117"/>
      <c r="X102" s="117"/>
      <c r="Y102" s="117"/>
      <c r="Z102" s="117"/>
    </row>
    <row r="103" spans="1:26" s="194" customFormat="1">
      <c r="A103" s="159"/>
      <c r="B103" s="180"/>
      <c r="C103" s="180"/>
      <c r="D103" s="180"/>
      <c r="E103" s="180"/>
      <c r="F103" s="180"/>
      <c r="G103" s="180"/>
      <c r="H103" s="180"/>
      <c r="I103" s="180"/>
      <c r="J103" s="117"/>
      <c r="K103" s="117"/>
      <c r="L103" s="117"/>
      <c r="M103" s="117"/>
      <c r="N103" s="117"/>
      <c r="O103" s="117"/>
      <c r="P103" s="117"/>
      <c r="Q103" s="117"/>
      <c r="R103" s="117"/>
      <c r="S103" s="117"/>
      <c r="T103" s="117"/>
      <c r="U103" s="117"/>
      <c r="V103" s="117"/>
      <c r="W103" s="117"/>
      <c r="X103" s="117"/>
      <c r="Y103" s="117"/>
      <c r="Z103" s="117"/>
    </row>
    <row r="104" spans="1:26" s="194" customFormat="1">
      <c r="A104" s="159"/>
      <c r="B104" s="180"/>
      <c r="C104" s="180"/>
      <c r="D104" s="180"/>
      <c r="E104" s="180"/>
      <c r="F104" s="180"/>
      <c r="G104" s="180"/>
      <c r="H104" s="180"/>
      <c r="I104" s="180"/>
      <c r="J104" s="117"/>
      <c r="K104" s="117"/>
      <c r="L104" s="117"/>
      <c r="M104" s="117"/>
      <c r="N104" s="117"/>
      <c r="O104" s="117"/>
      <c r="P104" s="117"/>
      <c r="Q104" s="117"/>
      <c r="R104" s="117"/>
      <c r="S104" s="117"/>
      <c r="T104" s="117"/>
      <c r="U104" s="117"/>
      <c r="V104" s="117"/>
      <c r="W104" s="117"/>
      <c r="X104" s="117"/>
      <c r="Y104" s="117"/>
      <c r="Z104" s="117"/>
    </row>
    <row r="105" spans="1:26" s="194" customFormat="1">
      <c r="A105" s="159"/>
      <c r="B105" s="180"/>
      <c r="C105" s="180"/>
      <c r="D105" s="180"/>
      <c r="E105" s="180"/>
      <c r="F105" s="180"/>
      <c r="G105" s="180"/>
      <c r="H105" s="180"/>
      <c r="I105" s="180"/>
      <c r="J105" s="117"/>
      <c r="K105" s="117"/>
      <c r="L105" s="117"/>
      <c r="M105" s="117"/>
      <c r="N105" s="117"/>
      <c r="O105" s="117"/>
      <c r="P105" s="117"/>
      <c r="Q105" s="117"/>
      <c r="R105" s="117"/>
      <c r="S105" s="117"/>
      <c r="T105" s="117"/>
      <c r="U105" s="117"/>
      <c r="V105" s="117"/>
      <c r="W105" s="117"/>
      <c r="X105" s="117"/>
      <c r="Y105" s="117"/>
      <c r="Z105" s="117"/>
    </row>
    <row r="106" spans="1:26" s="194" customFormat="1">
      <c r="A106" s="159"/>
      <c r="B106" s="180"/>
      <c r="C106" s="180"/>
      <c r="D106" s="180"/>
      <c r="E106" s="180"/>
      <c r="F106" s="180"/>
      <c r="G106" s="180"/>
      <c r="H106" s="180"/>
      <c r="I106" s="180"/>
      <c r="J106" s="117"/>
      <c r="K106" s="117"/>
      <c r="L106" s="117"/>
      <c r="M106" s="117"/>
      <c r="N106" s="117"/>
      <c r="O106" s="117"/>
      <c r="P106" s="117"/>
      <c r="Q106" s="117"/>
      <c r="R106" s="117"/>
      <c r="S106" s="117"/>
      <c r="T106" s="117"/>
      <c r="U106" s="117"/>
      <c r="V106" s="117"/>
      <c r="W106" s="117"/>
      <c r="X106" s="117"/>
      <c r="Y106" s="117"/>
      <c r="Z106" s="117"/>
    </row>
    <row r="107" spans="1:26" s="194" customFormat="1">
      <c r="A107" s="159"/>
      <c r="B107" s="180"/>
      <c r="C107" s="180"/>
      <c r="D107" s="180"/>
      <c r="E107" s="180"/>
      <c r="F107" s="180"/>
      <c r="G107" s="180"/>
      <c r="H107" s="180"/>
      <c r="I107" s="180"/>
      <c r="J107" s="117"/>
      <c r="K107" s="117"/>
      <c r="L107" s="117"/>
      <c r="M107" s="117"/>
      <c r="N107" s="117"/>
      <c r="O107" s="117"/>
      <c r="P107" s="117"/>
      <c r="Q107" s="117"/>
      <c r="R107" s="117"/>
      <c r="S107" s="117"/>
      <c r="T107" s="117"/>
      <c r="U107" s="117"/>
      <c r="V107" s="117"/>
      <c r="W107" s="117"/>
      <c r="X107" s="117"/>
      <c r="Y107" s="117"/>
      <c r="Z107" s="117"/>
    </row>
    <row r="108" spans="1:26" s="194" customFormat="1">
      <c r="A108" s="159"/>
      <c r="B108" s="180"/>
      <c r="C108" s="180"/>
      <c r="D108" s="180"/>
      <c r="E108" s="180"/>
      <c r="F108" s="180"/>
      <c r="G108" s="180"/>
      <c r="H108" s="180"/>
      <c r="I108" s="180"/>
      <c r="J108" s="117"/>
      <c r="K108" s="117"/>
      <c r="L108" s="117"/>
      <c r="M108" s="117"/>
      <c r="N108" s="117"/>
      <c r="O108" s="117"/>
      <c r="P108" s="117"/>
      <c r="Q108" s="117"/>
      <c r="R108" s="117"/>
      <c r="S108" s="117"/>
      <c r="T108" s="117"/>
      <c r="U108" s="117"/>
      <c r="V108" s="117"/>
      <c r="W108" s="117"/>
      <c r="X108" s="117"/>
      <c r="Y108" s="117"/>
      <c r="Z108" s="117"/>
    </row>
    <row r="109" spans="1:26" s="194" customFormat="1">
      <c r="A109" s="171"/>
      <c r="B109" s="180"/>
      <c r="C109" s="180"/>
      <c r="D109" s="180"/>
      <c r="E109" s="180"/>
      <c r="F109" s="180"/>
      <c r="G109" s="180"/>
      <c r="H109" s="180"/>
      <c r="I109" s="180"/>
      <c r="J109" s="117"/>
      <c r="K109" s="117"/>
      <c r="L109" s="117"/>
      <c r="M109" s="117"/>
      <c r="N109" s="117"/>
      <c r="O109" s="117"/>
      <c r="P109" s="117"/>
      <c r="Q109" s="117"/>
      <c r="R109" s="117"/>
      <c r="S109" s="117"/>
      <c r="T109" s="117"/>
      <c r="U109" s="117"/>
      <c r="V109" s="117"/>
      <c r="W109" s="117"/>
      <c r="X109" s="117"/>
      <c r="Y109" s="117"/>
      <c r="Z109" s="117"/>
    </row>
    <row r="110" spans="1:26" s="194" customFormat="1">
      <c r="A110" s="159"/>
      <c r="B110" s="180"/>
      <c r="C110" s="180"/>
      <c r="D110" s="180"/>
      <c r="E110" s="180"/>
      <c r="F110" s="180"/>
      <c r="G110" s="180"/>
      <c r="H110" s="180"/>
      <c r="I110" s="180"/>
      <c r="J110" s="117"/>
      <c r="K110" s="117"/>
      <c r="L110" s="117"/>
      <c r="M110" s="117"/>
      <c r="N110" s="117"/>
      <c r="O110" s="117"/>
      <c r="P110" s="117"/>
      <c r="Q110" s="117"/>
      <c r="R110" s="117"/>
      <c r="S110" s="117"/>
      <c r="T110" s="117"/>
      <c r="U110" s="117"/>
      <c r="V110" s="117"/>
      <c r="W110" s="117"/>
      <c r="X110" s="117"/>
      <c r="Y110" s="117"/>
      <c r="Z110" s="117"/>
    </row>
    <row r="111" spans="1:26" s="194" customFormat="1">
      <c r="A111" s="159"/>
      <c r="B111" s="180"/>
      <c r="C111" s="180"/>
      <c r="D111" s="180"/>
      <c r="E111" s="180"/>
      <c r="F111" s="180"/>
      <c r="G111" s="180"/>
      <c r="H111" s="180"/>
      <c r="I111" s="180"/>
      <c r="J111" s="117"/>
      <c r="K111" s="117"/>
      <c r="L111" s="117"/>
      <c r="M111" s="117"/>
      <c r="N111" s="117"/>
      <c r="O111" s="117"/>
      <c r="P111" s="117"/>
      <c r="Q111" s="117"/>
      <c r="R111" s="117"/>
      <c r="S111" s="117"/>
      <c r="T111" s="117"/>
      <c r="U111" s="117"/>
      <c r="V111" s="117"/>
      <c r="W111" s="117"/>
      <c r="X111" s="117"/>
      <c r="Y111" s="117"/>
      <c r="Z111" s="117"/>
    </row>
    <row r="112" spans="1:26" s="194" customFormat="1">
      <c r="A112" s="159"/>
      <c r="B112" s="180"/>
      <c r="C112" s="180"/>
      <c r="D112" s="180"/>
      <c r="E112" s="180"/>
      <c r="F112" s="180"/>
      <c r="G112" s="180"/>
      <c r="H112" s="180"/>
      <c r="I112" s="180"/>
      <c r="J112" s="117"/>
      <c r="K112" s="117"/>
      <c r="L112" s="117"/>
      <c r="M112" s="117"/>
      <c r="N112" s="117"/>
      <c r="O112" s="117"/>
      <c r="P112" s="117"/>
      <c r="Q112" s="117"/>
      <c r="R112" s="117"/>
      <c r="S112" s="117"/>
      <c r="T112" s="117"/>
      <c r="U112" s="117"/>
      <c r="V112" s="117"/>
      <c r="W112" s="117"/>
      <c r="X112" s="117"/>
      <c r="Y112" s="117"/>
      <c r="Z112" s="117"/>
    </row>
    <row r="113" spans="1:26" s="194" customFormat="1">
      <c r="A113" s="159"/>
      <c r="B113" s="180"/>
      <c r="C113" s="180"/>
      <c r="D113" s="180"/>
      <c r="E113" s="180"/>
      <c r="F113" s="180"/>
      <c r="G113" s="180"/>
      <c r="H113" s="180"/>
      <c r="I113" s="180"/>
      <c r="J113" s="117"/>
      <c r="K113" s="117"/>
      <c r="L113" s="117"/>
      <c r="M113" s="117"/>
      <c r="N113" s="117"/>
      <c r="O113" s="117"/>
      <c r="P113" s="117"/>
      <c r="Q113" s="117"/>
      <c r="R113" s="117"/>
      <c r="S113" s="117"/>
      <c r="T113" s="117"/>
      <c r="U113" s="117"/>
      <c r="V113" s="117"/>
      <c r="W113" s="117"/>
      <c r="X113" s="117"/>
      <c r="Y113" s="117"/>
      <c r="Z113" s="117"/>
    </row>
    <row r="114" spans="1:26" s="194" customFormat="1">
      <c r="A114" s="159"/>
      <c r="B114" s="180"/>
      <c r="C114" s="180"/>
      <c r="D114" s="180"/>
      <c r="E114" s="180"/>
      <c r="F114" s="180"/>
      <c r="G114" s="180"/>
      <c r="H114" s="180"/>
      <c r="I114" s="180"/>
      <c r="J114" s="117"/>
      <c r="K114" s="117"/>
      <c r="L114" s="117"/>
      <c r="M114" s="117"/>
      <c r="N114" s="117"/>
      <c r="O114" s="117"/>
      <c r="P114" s="117"/>
      <c r="Q114" s="117"/>
      <c r="R114" s="117"/>
      <c r="S114" s="117"/>
      <c r="T114" s="117"/>
      <c r="U114" s="117"/>
      <c r="V114" s="117"/>
      <c r="W114" s="117"/>
      <c r="X114" s="117"/>
      <c r="Y114" s="117"/>
      <c r="Z114" s="117"/>
    </row>
    <row r="115" spans="1:26" s="186" customFormat="1">
      <c r="B115" s="195"/>
      <c r="C115" s="195"/>
      <c r="D115" s="196"/>
      <c r="E115" s="196"/>
      <c r="F115" s="196"/>
      <c r="G115" s="196"/>
      <c r="H115" s="196"/>
      <c r="I115" s="196"/>
      <c r="J115" s="117"/>
      <c r="K115" s="117"/>
      <c r="L115" s="117"/>
      <c r="M115" s="117"/>
      <c r="N115" s="117"/>
      <c r="O115" s="117"/>
      <c r="P115" s="117"/>
      <c r="Q115" s="117"/>
      <c r="R115" s="117"/>
      <c r="S115" s="117"/>
      <c r="T115" s="117"/>
      <c r="U115" s="117"/>
      <c r="V115" s="117"/>
      <c r="W115" s="117"/>
      <c r="X115" s="117"/>
      <c r="Y115" s="117"/>
      <c r="Z115" s="117"/>
    </row>
    <row r="116" spans="1:26" s="171" customFormat="1">
      <c r="A116" s="159"/>
      <c r="B116" s="197"/>
      <c r="C116" s="197"/>
      <c r="D116" s="198"/>
      <c r="E116" s="198"/>
      <c r="F116" s="198"/>
      <c r="G116" s="198"/>
      <c r="H116" s="198"/>
      <c r="I116" s="198"/>
      <c r="J116" s="117"/>
      <c r="K116" s="117"/>
      <c r="L116" s="117"/>
      <c r="M116" s="117"/>
      <c r="N116" s="117"/>
      <c r="O116" s="117"/>
      <c r="P116" s="117"/>
      <c r="Q116" s="117"/>
      <c r="R116" s="117"/>
      <c r="S116" s="117"/>
      <c r="T116" s="117"/>
      <c r="U116" s="117"/>
      <c r="V116" s="117"/>
      <c r="W116" s="117"/>
      <c r="X116" s="117"/>
      <c r="Y116" s="117"/>
      <c r="Z116" s="117"/>
    </row>
    <row r="117" spans="1:26" s="171" customFormat="1">
      <c r="A117" s="159"/>
      <c r="B117" s="197"/>
      <c r="C117" s="197"/>
      <c r="D117" s="198"/>
      <c r="E117" s="198"/>
      <c r="F117" s="198"/>
      <c r="G117" s="198"/>
      <c r="H117" s="198"/>
      <c r="I117" s="198"/>
      <c r="J117" s="117"/>
      <c r="K117" s="117"/>
      <c r="L117" s="117"/>
      <c r="M117" s="117"/>
      <c r="N117" s="117"/>
      <c r="O117" s="117"/>
      <c r="P117" s="117"/>
      <c r="Q117" s="117"/>
      <c r="R117" s="117"/>
      <c r="S117" s="117"/>
      <c r="T117" s="117"/>
      <c r="U117" s="117"/>
      <c r="V117" s="117"/>
      <c r="W117" s="117"/>
      <c r="X117" s="117"/>
      <c r="Y117" s="117"/>
      <c r="Z117" s="117"/>
    </row>
    <row r="118" spans="1:26" s="184" customFormat="1">
      <c r="A118" s="186"/>
      <c r="B118" s="195"/>
      <c r="C118" s="195"/>
      <c r="D118" s="199"/>
      <c r="E118" s="199"/>
      <c r="F118" s="199"/>
      <c r="G118" s="199"/>
      <c r="H118" s="199"/>
      <c r="I118" s="199"/>
      <c r="J118" s="117"/>
      <c r="K118" s="117"/>
      <c r="L118" s="117"/>
      <c r="M118" s="117"/>
      <c r="N118" s="117"/>
      <c r="O118" s="117"/>
      <c r="P118" s="117"/>
      <c r="Q118" s="117"/>
      <c r="R118" s="117"/>
      <c r="S118" s="117"/>
      <c r="T118" s="117"/>
      <c r="U118" s="117"/>
      <c r="V118" s="117"/>
      <c r="W118" s="117"/>
      <c r="X118" s="117"/>
      <c r="Y118" s="117"/>
      <c r="Z118" s="117"/>
    </row>
    <row r="119" spans="1:26">
      <c r="A119" s="168"/>
      <c r="B119" s="197"/>
      <c r="C119" s="197"/>
      <c r="D119" s="200"/>
      <c r="E119" s="200"/>
      <c r="F119" s="200"/>
      <c r="G119" s="200"/>
      <c r="H119" s="200"/>
      <c r="I119" s="200"/>
    </row>
    <row r="120" spans="1:26">
      <c r="A120" s="168"/>
      <c r="B120" s="197"/>
      <c r="C120" s="197"/>
      <c r="D120" s="200"/>
      <c r="E120" s="200"/>
      <c r="F120" s="200"/>
      <c r="G120" s="200"/>
      <c r="H120" s="200"/>
      <c r="I120" s="200"/>
    </row>
    <row r="121" spans="1:26">
      <c r="A121" s="168"/>
      <c r="B121" s="197"/>
      <c r="C121" s="197"/>
      <c r="D121" s="200"/>
      <c r="E121" s="200"/>
      <c r="F121" s="200"/>
      <c r="G121" s="200"/>
      <c r="H121" s="200"/>
      <c r="I121" s="200"/>
    </row>
    <row r="122" spans="1:26">
      <c r="A122" s="168"/>
      <c r="B122" s="197"/>
      <c r="C122" s="197"/>
      <c r="D122" s="200"/>
      <c r="E122" s="200"/>
      <c r="F122" s="200"/>
      <c r="G122" s="200"/>
      <c r="H122" s="200"/>
      <c r="I122" s="200"/>
    </row>
    <row r="123" spans="1:26">
      <c r="A123" s="168"/>
      <c r="B123" s="197"/>
      <c r="C123" s="197"/>
      <c r="D123" s="200"/>
      <c r="E123" s="200"/>
      <c r="F123" s="200"/>
      <c r="G123" s="200"/>
      <c r="H123" s="200"/>
      <c r="I123" s="200"/>
    </row>
    <row r="124" spans="1:26">
      <c r="A124" s="168"/>
      <c r="B124" s="197"/>
      <c r="C124" s="197"/>
      <c r="D124" s="200"/>
      <c r="E124" s="200"/>
      <c r="F124" s="200"/>
      <c r="G124" s="200"/>
      <c r="H124" s="200"/>
      <c r="I124" s="200"/>
    </row>
    <row r="125" spans="1:26">
      <c r="A125" s="168"/>
      <c r="B125" s="197"/>
      <c r="C125" s="197"/>
      <c r="D125" s="200"/>
      <c r="E125" s="200"/>
      <c r="F125" s="200"/>
      <c r="G125" s="200"/>
      <c r="H125" s="200"/>
      <c r="I125" s="200"/>
    </row>
    <row r="126" spans="1:26">
      <c r="A126" s="168"/>
      <c r="B126" s="197"/>
      <c r="C126" s="197"/>
      <c r="D126" s="200"/>
      <c r="E126" s="200"/>
      <c r="F126" s="200"/>
      <c r="G126" s="200"/>
      <c r="H126" s="200"/>
      <c r="I126" s="200"/>
    </row>
    <row r="127" spans="1:26">
      <c r="A127" s="201"/>
      <c r="B127" s="197"/>
      <c r="C127" s="197"/>
      <c r="D127" s="200"/>
      <c r="E127" s="200"/>
      <c r="F127" s="200"/>
      <c r="G127" s="200"/>
      <c r="H127" s="200"/>
      <c r="I127" s="200"/>
    </row>
    <row r="128" spans="1:26">
      <c r="A128" s="168"/>
      <c r="B128" s="197"/>
      <c r="C128" s="197"/>
      <c r="D128" s="200"/>
      <c r="E128" s="200"/>
      <c r="F128" s="200"/>
      <c r="G128" s="200"/>
      <c r="H128" s="200"/>
      <c r="I128" s="200"/>
    </row>
    <row r="129" spans="1:26">
      <c r="A129" s="168"/>
      <c r="B129" s="197"/>
      <c r="C129" s="197"/>
      <c r="D129" s="200"/>
      <c r="E129" s="200"/>
      <c r="F129" s="200"/>
      <c r="G129" s="200"/>
      <c r="H129" s="200"/>
      <c r="I129" s="200"/>
    </row>
    <row r="130" spans="1:26">
      <c r="A130" s="168"/>
      <c r="B130" s="202"/>
      <c r="C130" s="202"/>
      <c r="D130" s="200"/>
      <c r="E130" s="200"/>
      <c r="F130" s="200"/>
      <c r="G130" s="200"/>
      <c r="H130" s="200"/>
      <c r="I130" s="200"/>
    </row>
    <row r="131" spans="1:26" s="184" customFormat="1">
      <c r="A131" s="182"/>
      <c r="B131" s="195"/>
      <c r="C131" s="195"/>
      <c r="J131" s="117"/>
      <c r="K131" s="117"/>
      <c r="L131" s="117"/>
      <c r="M131" s="117"/>
      <c r="N131" s="117"/>
      <c r="O131" s="117"/>
      <c r="P131" s="117"/>
      <c r="Q131" s="117"/>
      <c r="R131" s="117"/>
      <c r="S131" s="117"/>
      <c r="T131" s="117"/>
      <c r="U131" s="117"/>
      <c r="V131" s="117"/>
      <c r="W131" s="117"/>
      <c r="X131" s="117"/>
      <c r="Y131" s="117"/>
      <c r="Z131" s="117"/>
    </row>
    <row r="132" spans="1:26">
      <c r="A132" s="168"/>
      <c r="B132" s="187"/>
      <c r="C132" s="187"/>
    </row>
    <row r="133" spans="1:26">
      <c r="A133" s="168"/>
      <c r="B133" s="169"/>
      <c r="C133" s="169"/>
      <c r="D133" s="169"/>
      <c r="E133" s="169"/>
      <c r="F133" s="169"/>
      <c r="G133" s="169"/>
      <c r="H133" s="169"/>
      <c r="I133" s="169"/>
    </row>
    <row r="134" spans="1:26">
      <c r="A134" s="168"/>
      <c r="B134" s="169"/>
      <c r="C134" s="169"/>
      <c r="D134" s="169"/>
      <c r="E134" s="169"/>
      <c r="F134" s="169"/>
      <c r="G134" s="169"/>
      <c r="H134" s="169"/>
      <c r="I134" s="169"/>
    </row>
    <row r="135" spans="1:26">
      <c r="A135" s="168"/>
      <c r="B135" s="169"/>
      <c r="C135" s="169"/>
      <c r="D135" s="169"/>
      <c r="E135" s="169"/>
      <c r="F135" s="169"/>
      <c r="G135" s="169"/>
      <c r="H135" s="169"/>
      <c r="I135" s="169"/>
    </row>
    <row r="136" spans="1:26" s="184" customFormat="1">
      <c r="A136" s="182"/>
      <c r="B136" s="195"/>
      <c r="C136" s="195"/>
      <c r="D136" s="182"/>
      <c r="E136" s="182"/>
      <c r="F136" s="182"/>
      <c r="G136" s="182"/>
      <c r="H136" s="182"/>
      <c r="I136" s="182"/>
      <c r="J136" s="117"/>
      <c r="K136" s="117"/>
      <c r="L136" s="117"/>
      <c r="M136" s="117"/>
      <c r="N136" s="117"/>
      <c r="O136" s="117"/>
      <c r="P136" s="117"/>
      <c r="Q136" s="117"/>
      <c r="R136" s="117"/>
      <c r="S136" s="117"/>
      <c r="T136" s="117"/>
      <c r="U136" s="117"/>
      <c r="V136" s="117"/>
      <c r="W136" s="117"/>
      <c r="X136" s="117"/>
      <c r="Y136" s="117"/>
      <c r="Z136" s="117"/>
    </row>
    <row r="137" spans="1:26" s="115" customFormat="1">
      <c r="A137" s="203"/>
      <c r="B137" s="204"/>
      <c r="C137" s="204"/>
      <c r="D137" s="160"/>
      <c r="E137" s="160"/>
      <c r="F137" s="160"/>
      <c r="G137" s="160"/>
      <c r="H137" s="160"/>
      <c r="I137" s="160"/>
      <c r="J137" s="117"/>
      <c r="K137" s="117"/>
      <c r="L137" s="117"/>
      <c r="M137" s="117"/>
      <c r="N137" s="117"/>
      <c r="O137" s="117"/>
      <c r="P137" s="117"/>
      <c r="Q137" s="117"/>
      <c r="R137" s="117"/>
      <c r="S137" s="117"/>
      <c r="T137" s="117"/>
      <c r="U137" s="117"/>
      <c r="V137" s="117"/>
      <c r="W137" s="117"/>
      <c r="X137" s="117"/>
      <c r="Y137" s="117"/>
      <c r="Z137" s="117"/>
    </row>
    <row r="138" spans="1:26" s="115" customFormat="1">
      <c r="A138" s="205"/>
      <c r="B138" s="166"/>
      <c r="C138" s="166"/>
      <c r="D138" s="166"/>
      <c r="E138" s="166"/>
      <c r="F138" s="166"/>
      <c r="G138" s="166"/>
      <c r="H138" s="166"/>
      <c r="I138" s="166"/>
      <c r="J138" s="117"/>
      <c r="K138" s="117"/>
      <c r="L138" s="117"/>
      <c r="M138" s="117"/>
      <c r="N138" s="117"/>
      <c r="O138" s="117"/>
      <c r="P138" s="117"/>
      <c r="Q138" s="117"/>
      <c r="R138" s="117"/>
      <c r="S138" s="117"/>
      <c r="T138" s="117"/>
      <c r="U138" s="117"/>
      <c r="V138" s="117"/>
      <c r="W138" s="117"/>
      <c r="X138" s="117"/>
      <c r="Y138" s="117"/>
      <c r="Z138" s="117"/>
    </row>
    <row r="139" spans="1:26" s="167" customFormat="1">
      <c r="A139" s="205"/>
      <c r="B139" s="166"/>
      <c r="C139" s="166"/>
      <c r="D139" s="166"/>
      <c r="E139" s="166"/>
      <c r="F139" s="166"/>
      <c r="G139" s="166"/>
      <c r="H139" s="166"/>
      <c r="I139" s="166"/>
      <c r="J139" s="117"/>
      <c r="K139" s="117"/>
      <c r="L139" s="117"/>
      <c r="M139" s="117"/>
      <c r="N139" s="117"/>
      <c r="O139" s="117"/>
      <c r="P139" s="117"/>
      <c r="Q139" s="117"/>
      <c r="R139" s="117"/>
      <c r="S139" s="117"/>
      <c r="T139" s="117"/>
      <c r="U139" s="117"/>
      <c r="V139" s="117"/>
      <c r="W139" s="117"/>
      <c r="X139" s="117"/>
      <c r="Y139" s="117"/>
      <c r="Z139" s="117"/>
    </row>
    <row r="140" spans="1:26">
      <c r="A140" s="163"/>
      <c r="B140" s="169"/>
      <c r="C140" s="169"/>
    </row>
    <row r="141" spans="1:26" s="174" customFormat="1">
      <c r="A141" s="177"/>
      <c r="B141" s="206"/>
      <c r="C141" s="206"/>
      <c r="J141" s="117"/>
      <c r="K141" s="117"/>
      <c r="L141" s="117"/>
      <c r="M141" s="117"/>
      <c r="N141" s="117"/>
      <c r="O141" s="117"/>
      <c r="P141" s="117"/>
      <c r="Q141" s="117"/>
      <c r="R141" s="117"/>
      <c r="S141" s="117"/>
      <c r="T141" s="117"/>
      <c r="U141" s="117"/>
      <c r="V141" s="117"/>
      <c r="W141" s="117"/>
      <c r="X141" s="117"/>
      <c r="Y141" s="117"/>
      <c r="Z141" s="117"/>
    </row>
    <row r="142" spans="1:26" s="161" customFormat="1">
      <c r="A142" s="207"/>
      <c r="B142" s="175"/>
      <c r="C142" s="175"/>
      <c r="D142" s="175"/>
      <c r="E142" s="175"/>
      <c r="F142" s="175"/>
      <c r="G142" s="175"/>
      <c r="H142" s="175"/>
      <c r="I142" s="175"/>
      <c r="J142" s="117"/>
      <c r="K142" s="117"/>
      <c r="L142" s="117"/>
      <c r="M142" s="117"/>
      <c r="N142" s="117"/>
      <c r="O142" s="117"/>
      <c r="P142" s="117"/>
      <c r="Q142" s="117"/>
      <c r="R142" s="117"/>
      <c r="S142" s="117"/>
      <c r="T142" s="117"/>
      <c r="U142" s="117"/>
      <c r="V142" s="117"/>
      <c r="W142" s="117"/>
      <c r="X142" s="117"/>
      <c r="Y142" s="117"/>
      <c r="Z142" s="117"/>
    </row>
    <row r="143" spans="1:26">
      <c r="A143" s="201"/>
      <c r="B143" s="169"/>
      <c r="C143" s="169"/>
      <c r="D143" s="169"/>
      <c r="E143" s="169"/>
      <c r="F143" s="169"/>
      <c r="G143" s="169"/>
      <c r="H143" s="169"/>
      <c r="I143" s="169"/>
    </row>
    <row r="144" spans="1:26">
      <c r="A144" s="201"/>
      <c r="B144" s="169"/>
      <c r="C144" s="169"/>
      <c r="D144" s="169"/>
      <c r="E144" s="169"/>
      <c r="F144" s="169"/>
      <c r="G144" s="169"/>
      <c r="H144" s="169"/>
      <c r="I144" s="169"/>
    </row>
    <row r="145" spans="1:26" s="171" customFormat="1">
      <c r="A145" s="208"/>
      <c r="B145" s="169"/>
      <c r="C145" s="169"/>
      <c r="D145" s="169"/>
      <c r="E145" s="169"/>
      <c r="F145" s="169"/>
      <c r="G145" s="169"/>
      <c r="H145" s="169"/>
      <c r="I145" s="169"/>
      <c r="J145" s="117"/>
      <c r="K145" s="117"/>
      <c r="L145" s="117"/>
      <c r="M145" s="117"/>
      <c r="N145" s="117"/>
      <c r="O145" s="117"/>
      <c r="P145" s="117"/>
      <c r="Q145" s="117"/>
      <c r="R145" s="117"/>
      <c r="S145" s="117"/>
      <c r="T145" s="117"/>
      <c r="U145" s="117"/>
      <c r="V145" s="117"/>
      <c r="W145" s="117"/>
      <c r="X145" s="117"/>
      <c r="Y145" s="117"/>
      <c r="Z145" s="117"/>
    </row>
    <row r="146" spans="1:26">
      <c r="A146" s="201"/>
      <c r="B146" s="169"/>
      <c r="C146" s="169"/>
      <c r="D146" s="169"/>
      <c r="E146" s="169"/>
      <c r="F146" s="169"/>
      <c r="G146" s="169"/>
      <c r="H146" s="169"/>
      <c r="I146" s="169"/>
    </row>
    <row r="147" spans="1:26" s="161" customFormat="1">
      <c r="A147" s="460"/>
      <c r="B147" s="209"/>
      <c r="C147" s="209"/>
      <c r="D147" s="209"/>
      <c r="E147" s="209"/>
      <c r="F147" s="209"/>
      <c r="G147" s="209"/>
      <c r="H147" s="209"/>
      <c r="I147" s="209"/>
      <c r="J147" s="117"/>
      <c r="K147" s="117"/>
      <c r="L147" s="117"/>
      <c r="M147" s="117"/>
      <c r="N147" s="117"/>
      <c r="O147" s="117"/>
      <c r="P147" s="117"/>
      <c r="Q147" s="117"/>
      <c r="R147" s="117"/>
      <c r="S147" s="117"/>
      <c r="T147" s="117"/>
      <c r="U147" s="117"/>
      <c r="V147" s="117"/>
      <c r="W147" s="117"/>
      <c r="X147" s="117"/>
      <c r="Y147" s="117"/>
      <c r="Z147" s="117"/>
    </row>
    <row r="148" spans="1:26" s="161" customFormat="1">
      <c r="A148" s="460"/>
      <c r="B148" s="209"/>
      <c r="C148" s="209"/>
      <c r="D148" s="209"/>
      <c r="E148" s="209"/>
      <c r="F148" s="209"/>
      <c r="G148" s="209"/>
      <c r="H148" s="209"/>
      <c r="I148" s="209"/>
      <c r="J148" s="117"/>
      <c r="K148" s="117"/>
      <c r="L148" s="117"/>
      <c r="M148" s="117"/>
      <c r="N148" s="117"/>
      <c r="O148" s="117"/>
      <c r="P148" s="117"/>
      <c r="Q148" s="117"/>
      <c r="R148" s="117"/>
      <c r="S148" s="117"/>
      <c r="T148" s="117"/>
      <c r="U148" s="117"/>
      <c r="V148" s="117"/>
      <c r="W148" s="117"/>
      <c r="X148" s="117"/>
      <c r="Y148" s="117"/>
      <c r="Z148" s="117"/>
    </row>
    <row r="149" spans="1:26">
      <c r="A149" s="168"/>
      <c r="B149" s="210"/>
      <c r="C149" s="211"/>
      <c r="D149" s="212"/>
      <c r="E149" s="212"/>
      <c r="F149" s="212"/>
      <c r="G149" s="212"/>
      <c r="H149" s="212"/>
      <c r="I149" s="212"/>
    </row>
    <row r="150" spans="1:26">
      <c r="A150" s="168"/>
      <c r="B150" s="169"/>
      <c r="C150" s="169"/>
    </row>
    <row r="151" spans="1:26">
      <c r="A151" s="168"/>
      <c r="B151" s="169"/>
      <c r="C151" s="169"/>
    </row>
    <row r="152" spans="1:26">
      <c r="A152" s="168"/>
    </row>
    <row r="153" spans="1:26">
      <c r="A153" s="168"/>
      <c r="B153" s="169"/>
      <c r="C153" s="169"/>
      <c r="D153" s="169"/>
      <c r="E153" s="169"/>
      <c r="F153" s="169"/>
      <c r="G153" s="169"/>
      <c r="H153" s="169"/>
      <c r="I153" s="169"/>
    </row>
    <row r="154" spans="1:26">
      <c r="A154" s="168"/>
      <c r="B154" s="213"/>
      <c r="C154" s="213"/>
      <c r="D154" s="213"/>
      <c r="E154" s="213"/>
      <c r="F154" s="213"/>
      <c r="G154" s="213"/>
      <c r="H154" s="213"/>
      <c r="I154" s="213"/>
    </row>
    <row r="155" spans="1:26">
      <c r="A155" s="168"/>
      <c r="B155" s="214"/>
      <c r="C155" s="214"/>
      <c r="D155" s="215"/>
      <c r="E155" s="215"/>
      <c r="F155" s="215"/>
      <c r="G155" s="215"/>
      <c r="H155" s="215"/>
      <c r="I155" s="215"/>
    </row>
    <row r="156" spans="1:26" s="161" customFormat="1">
      <c r="A156" s="207"/>
      <c r="B156" s="175"/>
      <c r="C156" s="175"/>
      <c r="D156" s="175"/>
      <c r="E156" s="175"/>
      <c r="F156" s="175"/>
      <c r="G156" s="175"/>
      <c r="H156" s="175"/>
      <c r="I156" s="175"/>
      <c r="J156" s="117"/>
      <c r="K156" s="117"/>
      <c r="L156" s="117"/>
      <c r="M156" s="117"/>
      <c r="N156" s="117"/>
      <c r="O156" s="117"/>
      <c r="P156" s="117"/>
      <c r="Q156" s="117"/>
      <c r="R156" s="117"/>
      <c r="S156" s="117"/>
      <c r="T156" s="117"/>
      <c r="U156" s="117"/>
      <c r="V156" s="117"/>
      <c r="W156" s="117"/>
      <c r="X156" s="117"/>
      <c r="Y156" s="117"/>
      <c r="Z156" s="117"/>
    </row>
  </sheetData>
  <mergeCells count="4">
    <mergeCell ref="A1:A2"/>
    <mergeCell ref="A97:A98"/>
    <mergeCell ref="A147:A148"/>
    <mergeCell ref="A23:A24"/>
  </mergeCells>
  <phoneticPr fontId="46" type="noConversion"/>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2:M6"/>
  <sheetViews>
    <sheetView workbookViewId="0">
      <selection activeCell="I17" sqref="I17"/>
    </sheetView>
  </sheetViews>
  <sheetFormatPr defaultRowHeight="14.4"/>
  <cols>
    <col min="3" max="3" width="53.5546875" customWidth="1"/>
    <col min="4" max="4" width="17.33203125" customWidth="1"/>
    <col min="5" max="5" width="15.5546875" customWidth="1"/>
    <col min="6" max="6" width="15.44140625" customWidth="1"/>
    <col min="7" max="7" width="14" customWidth="1"/>
    <col min="10" max="10" width="11" bestFit="1" customWidth="1"/>
    <col min="11" max="11" width="15" customWidth="1"/>
    <col min="12" max="12" width="11" bestFit="1" customWidth="1"/>
  </cols>
  <sheetData>
    <row r="2" spans="3:13">
      <c r="D2" s="61">
        <v>2018</v>
      </c>
      <c r="E2" s="384" t="s">
        <v>416</v>
      </c>
      <c r="F2" s="384" t="s">
        <v>417</v>
      </c>
    </row>
    <row r="3" spans="3:13">
      <c r="C3" s="61" t="s">
        <v>2</v>
      </c>
      <c r="D3" s="79">
        <f>'Financials FY'!L3</f>
        <v>248549590</v>
      </c>
      <c r="E3" s="79">
        <f>'Financials HY'!D3</f>
        <v>320682914</v>
      </c>
      <c r="F3" s="79">
        <v>76389003</v>
      </c>
      <c r="J3" s="79">
        <v>17948319</v>
      </c>
      <c r="K3" s="385">
        <f>(D3-J3)/2</f>
        <v>115300635.5</v>
      </c>
      <c r="L3" s="385">
        <f>K3+J3</f>
        <v>133248954.5</v>
      </c>
      <c r="M3" s="386">
        <f>(F3-L3)/L3</f>
        <v>-0.4267196820669989</v>
      </c>
    </row>
    <row r="4" spans="3:13">
      <c r="C4" t="s">
        <v>286</v>
      </c>
      <c r="F4" s="383">
        <v>19097251</v>
      </c>
    </row>
    <row r="5" spans="3:13">
      <c r="C5" t="s">
        <v>68</v>
      </c>
    </row>
    <row r="6" spans="3:13">
      <c r="C6" t="s">
        <v>418</v>
      </c>
      <c r="F6" s="386">
        <f>F4/F3</f>
        <v>0.25000000327272237</v>
      </c>
    </row>
  </sheetData>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57"/>
  <sheetViews>
    <sheetView workbookViewId="0">
      <pane xSplit="1" topLeftCell="B1" activePane="topRight" state="frozen"/>
      <selection activeCell="A7" sqref="A7"/>
      <selection pane="topRight" activeCell="M36" sqref="M36"/>
    </sheetView>
  </sheetViews>
  <sheetFormatPr defaultRowHeight="14.4"/>
  <cols>
    <col min="1" max="1" width="32.109375" bestFit="1" customWidth="1"/>
    <col min="2" max="3" width="8.6640625" bestFit="1" customWidth="1"/>
    <col min="4" max="5" width="15.88671875" bestFit="1" customWidth="1"/>
    <col min="6" max="13" width="15.88671875" customWidth="1"/>
    <col min="14" max="14" width="19.88671875" customWidth="1"/>
    <col min="15" max="15" width="6.44140625" customWidth="1"/>
    <col min="16" max="16" width="43" bestFit="1" customWidth="1"/>
    <col min="17" max="17" width="18" customWidth="1"/>
    <col min="19" max="19" width="36.44140625" customWidth="1"/>
    <col min="20" max="20" width="19" customWidth="1"/>
    <col min="21" max="27" width="15.88671875" customWidth="1"/>
  </cols>
  <sheetData>
    <row r="1" spans="1:27" ht="15">
      <c r="A1" s="108" t="s">
        <v>160</v>
      </c>
      <c r="B1" s="109" t="s">
        <v>161</v>
      </c>
      <c r="C1" s="109" t="s">
        <v>162</v>
      </c>
      <c r="D1" s="109" t="s">
        <v>163</v>
      </c>
      <c r="E1" s="109" t="s">
        <v>164</v>
      </c>
      <c r="F1" s="109" t="s">
        <v>165</v>
      </c>
      <c r="G1" s="109" t="s">
        <v>166</v>
      </c>
      <c r="H1" s="109" t="s">
        <v>415</v>
      </c>
      <c r="I1" s="109" t="s">
        <v>426</v>
      </c>
      <c r="J1" s="109" t="s">
        <v>428</v>
      </c>
      <c r="K1" s="109" t="s">
        <v>443</v>
      </c>
      <c r="L1" s="109" t="s">
        <v>444</v>
      </c>
      <c r="M1" s="109" t="s">
        <v>469</v>
      </c>
      <c r="N1" s="110" t="s">
        <v>471</v>
      </c>
      <c r="O1" s="110"/>
      <c r="P1" s="108"/>
      <c r="Q1" s="108"/>
      <c r="R1" s="108"/>
      <c r="S1" s="108"/>
      <c r="T1" s="108"/>
      <c r="U1" s="108"/>
      <c r="V1" s="108"/>
      <c r="W1" s="108"/>
      <c r="X1" s="108"/>
      <c r="Y1" s="108"/>
      <c r="Z1" s="108"/>
      <c r="AA1" s="108"/>
    </row>
    <row r="2" spans="1:27" ht="15">
      <c r="A2" s="112"/>
      <c r="B2" s="112"/>
      <c r="C2" s="112"/>
      <c r="D2" s="112"/>
      <c r="E2" s="112"/>
      <c r="F2" s="112"/>
      <c r="G2" s="113"/>
      <c r="H2" s="113"/>
      <c r="I2" s="113"/>
      <c r="J2" s="113"/>
      <c r="K2" s="113"/>
      <c r="L2" s="113"/>
      <c r="M2" s="113"/>
      <c r="N2" s="113"/>
      <c r="O2" s="113"/>
      <c r="P2" s="114" t="s">
        <v>167</v>
      </c>
      <c r="Q2" s="111"/>
      <c r="R2" s="111"/>
      <c r="S2" s="114" t="s">
        <v>168</v>
      </c>
      <c r="T2" s="114"/>
      <c r="U2" s="114"/>
      <c r="V2" s="114"/>
      <c r="W2" s="114"/>
      <c r="X2" s="114"/>
      <c r="Y2" s="114"/>
      <c r="Z2" s="114"/>
      <c r="AA2" s="114"/>
    </row>
    <row r="3" spans="1:27" ht="15">
      <c r="A3" s="115" t="s">
        <v>169</v>
      </c>
      <c r="B3" s="116"/>
      <c r="C3" s="116"/>
      <c r="D3" s="116">
        <f>'Financials FY'!H45</f>
        <v>0</v>
      </c>
      <c r="E3" s="116">
        <f>'Financials FY'!I45</f>
        <v>0</v>
      </c>
      <c r="F3" s="116">
        <f>'Financials FY'!J45</f>
        <v>0</v>
      </c>
      <c r="G3" s="116">
        <f>'Financials FY'!K42</f>
        <v>8727868</v>
      </c>
      <c r="H3" s="116">
        <f>'Financials FY'!L42</f>
        <v>53986552</v>
      </c>
      <c r="I3" s="116">
        <f>'Financials FY'!M42</f>
        <v>757571799</v>
      </c>
      <c r="J3" s="116">
        <f>'Financials FY'!N42</f>
        <v>1578414353</v>
      </c>
      <c r="K3" s="116">
        <f>'Financials FY'!O42</f>
        <v>7410742000</v>
      </c>
      <c r="L3" s="116">
        <f>'Financials FY'!P42</f>
        <v>19944208</v>
      </c>
      <c r="M3" s="116">
        <f>'Financials FY'!Q42</f>
        <v>23630406</v>
      </c>
      <c r="N3" s="116"/>
      <c r="O3" s="115"/>
      <c r="P3" s="117"/>
      <c r="Q3" s="117"/>
      <c r="R3" s="111"/>
      <c r="S3" s="111"/>
      <c r="T3" s="111"/>
      <c r="U3" s="111"/>
      <c r="V3" s="111"/>
      <c r="W3" s="111"/>
      <c r="X3" s="111"/>
      <c r="Y3" s="111"/>
      <c r="Z3" s="111"/>
      <c r="AA3" s="111"/>
    </row>
    <row r="4" spans="1:27" ht="15">
      <c r="A4" s="115" t="s">
        <v>170</v>
      </c>
      <c r="B4" s="116"/>
      <c r="C4" s="116">
        <f>'Financials FY'!G71</f>
        <v>0</v>
      </c>
      <c r="D4" s="116">
        <f>'Financials FY'!H71</f>
        <v>20112053</v>
      </c>
      <c r="E4" s="116">
        <f>'Financials FY'!I71</f>
        <v>11790662</v>
      </c>
      <c r="F4" s="116">
        <f>'Financials FY'!J71</f>
        <v>12311543</v>
      </c>
      <c r="G4" s="116">
        <f>'Financials FY'!K71</f>
        <v>14038405</v>
      </c>
      <c r="H4" s="116">
        <f>'Financials FY'!L71</f>
        <v>102795573</v>
      </c>
      <c r="I4" s="116">
        <f>'Financials FY'!M71</f>
        <v>1162729925</v>
      </c>
      <c r="J4" s="116">
        <f>'Financials FY'!N71</f>
        <v>2674849654</v>
      </c>
      <c r="K4" s="116">
        <f>'Financials FY'!O71</f>
        <v>11550071000</v>
      </c>
      <c r="L4" s="116">
        <f>'Financials FY'!P71</f>
        <v>29924703</v>
      </c>
      <c r="M4" s="116">
        <f>'Financials FY'!Q71</f>
        <v>24227135</v>
      </c>
      <c r="N4" s="116"/>
      <c r="O4" s="116"/>
      <c r="P4" s="118"/>
      <c r="Q4" s="118"/>
      <c r="R4" s="119"/>
      <c r="S4" s="120" t="s">
        <v>172</v>
      </c>
      <c r="T4" s="237">
        <f>M12</f>
        <v>11</v>
      </c>
      <c r="U4" s="237"/>
      <c r="V4" s="237"/>
      <c r="W4" s="237"/>
      <c r="X4" s="237"/>
      <c r="Y4" s="237"/>
      <c r="Z4" s="237"/>
      <c r="AA4" s="237"/>
    </row>
    <row r="5" spans="1:27" ht="15">
      <c r="A5" s="115" t="s">
        <v>173</v>
      </c>
      <c r="B5" s="121"/>
      <c r="C5" s="121">
        <f>-('Financials FY'!G13+'Financials FY'!G16)</f>
        <v>0</v>
      </c>
      <c r="D5" s="121">
        <f>-('Financials FY'!H13+'Financials FY'!H16)</f>
        <v>344253</v>
      </c>
      <c r="E5" s="121">
        <f>-('Financials FY'!I13+'Financials FY'!I16)</f>
        <v>82569</v>
      </c>
      <c r="F5" s="121">
        <f>-('Financials FY'!J13+'Financials FY'!J16)</f>
        <v>39621</v>
      </c>
      <c r="G5" s="121">
        <f>-('Financials FY'!K13+'Financials FY'!K16)</f>
        <v>117448</v>
      </c>
      <c r="H5" s="121">
        <f>-('Financials FY'!L13+'Financials FY'!L16)</f>
        <v>1070216</v>
      </c>
      <c r="I5" s="121">
        <f>-('Financials FY'!M13+'Financials FY'!M16)</f>
        <v>4265353</v>
      </c>
      <c r="J5" s="121">
        <f>-('Financials FY'!N13+'Financials FY'!N16)</f>
        <v>12987289</v>
      </c>
      <c r="K5" s="121">
        <f>-('Financials FY'!O13+'Financials FY'!O16)</f>
        <v>338789000</v>
      </c>
      <c r="L5" s="121">
        <f>-('Financials FY'!P13+'Financials FY'!P16)</f>
        <v>245616</v>
      </c>
      <c r="M5" s="121">
        <f>-('Financials FY'!Q13+'Financials FY'!Q16)</f>
        <v>363607</v>
      </c>
      <c r="N5" s="121"/>
      <c r="O5" s="121"/>
      <c r="P5" s="118" t="s">
        <v>131</v>
      </c>
      <c r="Q5" s="118">
        <f>M9</f>
        <v>1.0869176235654772</v>
      </c>
      <c r="R5" s="119"/>
      <c r="S5" s="120" t="s">
        <v>174</v>
      </c>
      <c r="T5" s="237">
        <f>T4-T7</f>
        <v>11</v>
      </c>
      <c r="U5" s="237"/>
      <c r="V5" s="237"/>
      <c r="W5" s="237"/>
      <c r="X5" s="237"/>
      <c r="Y5" s="237"/>
      <c r="Z5" s="237"/>
      <c r="AA5" s="237"/>
    </row>
    <row r="6" spans="1:27" ht="15">
      <c r="A6" s="115" t="s">
        <v>121</v>
      </c>
      <c r="B6" s="121"/>
      <c r="C6" s="121">
        <f>-'Financials FY'!G121</f>
        <v>0</v>
      </c>
      <c r="D6" s="121">
        <f>-'Financials FY'!H121</f>
        <v>0</v>
      </c>
      <c r="E6" s="121">
        <f>-'Financials FY'!I121</f>
        <v>135586</v>
      </c>
      <c r="F6" s="121">
        <f>-'Financials FY'!J121</f>
        <v>1765204</v>
      </c>
      <c r="G6" s="121">
        <f>-'Financials FY'!K121</f>
        <v>2920223</v>
      </c>
      <c r="H6" s="121">
        <f>-'Financials FY'!L121</f>
        <v>1633551</v>
      </c>
      <c r="I6" s="121">
        <f>-'Financials FY'!M121</f>
        <v>589737378</v>
      </c>
      <c r="J6" s="121">
        <f>-'Financials FY'!N121</f>
        <v>492532971</v>
      </c>
      <c r="K6" s="121">
        <f>-'Financials FY'!O121</f>
        <v>3936732000</v>
      </c>
      <c r="L6" s="121">
        <f>-'Financials FY'!P121</f>
        <v>4746695</v>
      </c>
      <c r="M6" s="121">
        <f>-'Financials FY'!Q121</f>
        <v>4150995</v>
      </c>
      <c r="N6" s="121"/>
      <c r="O6" s="115"/>
      <c r="P6" s="118" t="s">
        <v>172</v>
      </c>
      <c r="Q6" s="390">
        <f>M12</f>
        <v>11</v>
      </c>
      <c r="R6" s="119"/>
      <c r="S6" s="120" t="s">
        <v>175</v>
      </c>
      <c r="T6" s="122" t="e">
        <f>T5/T7</f>
        <v>#DIV/0!</v>
      </c>
      <c r="U6" s="122"/>
      <c r="V6" s="122"/>
      <c r="W6" s="122"/>
      <c r="X6" s="122"/>
      <c r="Y6" s="122"/>
      <c r="Z6" s="122"/>
      <c r="AA6" s="122"/>
    </row>
    <row r="7" spans="1:27" ht="15">
      <c r="A7" s="115" t="s">
        <v>100</v>
      </c>
      <c r="B7" s="116"/>
      <c r="C7" s="116">
        <f>'Financials FY'!G5</f>
        <v>0</v>
      </c>
      <c r="D7" s="116">
        <f>'Financials FY'!H5</f>
        <v>14848743</v>
      </c>
      <c r="E7" s="116">
        <f>'Financials FY'!I5</f>
        <v>10039549</v>
      </c>
      <c r="F7" s="116">
        <f>'Financials FY'!J5</f>
        <v>19139918</v>
      </c>
      <c r="G7" s="116">
        <f>'Financials FY'!K5</f>
        <v>4197192</v>
      </c>
      <c r="H7" s="116">
        <f>'Financials FY'!L5</f>
        <v>0</v>
      </c>
      <c r="I7" s="116">
        <f>'Financials FY'!M5</f>
        <v>1498657461</v>
      </c>
      <c r="J7" s="116">
        <f>'Financials FY'!N5</f>
        <v>8390738256</v>
      </c>
      <c r="K7" s="116">
        <f>'Financials FY'!O5</f>
        <v>25284481000</v>
      </c>
      <c r="L7" s="116">
        <f>'Financials FY'!P5</f>
        <v>49818414</v>
      </c>
      <c r="M7" s="116">
        <f>'Financials FY'!Q5</f>
        <v>53834005</v>
      </c>
      <c r="N7" s="116"/>
      <c r="O7" s="115"/>
      <c r="P7" s="117" t="s">
        <v>176</v>
      </c>
      <c r="Q7" s="390">
        <f>(M12*M18/(100*M15))</f>
        <v>3.4875832928060655</v>
      </c>
      <c r="R7" s="111"/>
      <c r="S7" s="120" t="s">
        <v>177</v>
      </c>
      <c r="T7" s="237">
        <f>M13</f>
        <v>0</v>
      </c>
      <c r="U7" s="237"/>
      <c r="V7" s="237"/>
      <c r="W7" s="237"/>
      <c r="X7" s="237"/>
      <c r="Y7" s="237"/>
      <c r="Z7" s="237"/>
      <c r="AA7" s="237"/>
    </row>
    <row r="8" spans="1:27" ht="15">
      <c r="A8" s="115"/>
      <c r="B8" s="115"/>
      <c r="C8" s="116"/>
      <c r="D8" s="116"/>
      <c r="E8" s="116"/>
      <c r="F8" s="116"/>
      <c r="G8" s="116"/>
      <c r="H8" s="116"/>
      <c r="I8" s="116"/>
      <c r="J8" s="116"/>
      <c r="K8" s="116"/>
      <c r="L8" s="116"/>
      <c r="M8" s="116"/>
      <c r="N8" s="395"/>
      <c r="O8" s="116"/>
      <c r="P8" s="117" t="s">
        <v>178</v>
      </c>
      <c r="Q8" s="390">
        <f>(M12*M18/(100*N14))</f>
        <v>3.4875832928060655</v>
      </c>
      <c r="R8" s="111"/>
      <c r="S8" s="120" t="s">
        <v>179</v>
      </c>
      <c r="T8" s="123"/>
      <c r="U8" s="123"/>
      <c r="V8" s="123"/>
      <c r="W8" s="123"/>
      <c r="X8" s="123"/>
      <c r="Y8" s="123"/>
      <c r="Z8" s="123"/>
      <c r="AA8" s="123"/>
    </row>
    <row r="9" spans="1:27" ht="15">
      <c r="A9" s="115" t="s">
        <v>131</v>
      </c>
      <c r="B9" s="107"/>
      <c r="C9" s="116"/>
      <c r="D9" s="116"/>
      <c r="E9" s="116">
        <f>F9</f>
        <v>1.0869176235654772</v>
      </c>
      <c r="F9" s="116">
        <f>G9</f>
        <v>1.0869176235654772</v>
      </c>
      <c r="G9" s="116">
        <f>I9</f>
        <v>1.0869176235654772</v>
      </c>
      <c r="H9" s="116">
        <f>K9</f>
        <v>0</v>
      </c>
      <c r="I9" s="116">
        <f>M9</f>
        <v>1.0869176235654772</v>
      </c>
      <c r="J9" s="116">
        <f t="shared" ref="J9:K9" si="0">N9</f>
        <v>9.0470363903495326</v>
      </c>
      <c r="K9" s="116">
        <f t="shared" si="0"/>
        <v>0</v>
      </c>
      <c r="L9" s="116" t="str">
        <f t="shared" ref="L9" si="1">P9</f>
        <v>Price/NAV</v>
      </c>
      <c r="M9" s="116">
        <f t="shared" ref="M9" si="2">Q9</f>
        <v>1.0869176235654772</v>
      </c>
      <c r="N9" s="116">
        <f>DCF!C40</f>
        <v>9.0470363903495326</v>
      </c>
      <c r="O9" s="116"/>
      <c r="P9" s="416" t="s">
        <v>134</v>
      </c>
      <c r="Q9" s="390">
        <f>(M12*M18)/((M17))/100</f>
        <v>1.0869176235654772</v>
      </c>
      <c r="R9" s="111"/>
      <c r="S9" s="120" t="s">
        <v>180</v>
      </c>
      <c r="T9" s="237">
        <f>Q7</f>
        <v>3.4875832928060655</v>
      </c>
      <c r="U9" s="237"/>
      <c r="V9" s="237"/>
      <c r="W9" s="237"/>
      <c r="X9" s="237"/>
      <c r="Y9" s="237"/>
      <c r="Z9" s="237"/>
      <c r="AA9" s="237"/>
    </row>
    <row r="10" spans="1:27" ht="15">
      <c r="A10" s="115" t="s">
        <v>181</v>
      </c>
      <c r="B10" s="116"/>
      <c r="C10" s="116">
        <f>'Financials FY'!G10</f>
        <v>0</v>
      </c>
      <c r="D10" s="116">
        <f>'Financials FY'!H10</f>
        <v>-936437</v>
      </c>
      <c r="E10" s="116">
        <f>'Financials FY'!I10</f>
        <v>-1354722</v>
      </c>
      <c r="F10" s="116">
        <f>'Financials FY'!J10</f>
        <v>-2685172</v>
      </c>
      <c r="G10" s="116">
        <f>'Financials FY'!K10</f>
        <v>-2946075</v>
      </c>
      <c r="H10" s="116">
        <f>'Financials FY'!L10</f>
        <v>11596451</v>
      </c>
      <c r="I10" s="116">
        <f>'Financials FY'!M10</f>
        <v>402731168</v>
      </c>
      <c r="J10" s="116">
        <f>'Financials FY'!N10</f>
        <v>1567387720</v>
      </c>
      <c r="K10" s="116">
        <f>'Financials FY'!O10</f>
        <v>4663423000</v>
      </c>
      <c r="L10" s="116">
        <f>'Financials FY'!P10</f>
        <v>12367050</v>
      </c>
      <c r="M10" s="116">
        <f>'Financials FY'!Q10</f>
        <v>8237104</v>
      </c>
      <c r="N10" s="116">
        <f>M10*(1+DCF!L13)</f>
        <v>8237104</v>
      </c>
      <c r="O10" s="115"/>
      <c r="P10" s="117" t="s">
        <v>12</v>
      </c>
      <c r="Q10" s="124">
        <f>M36/M10</f>
        <v>2.58978119542985</v>
      </c>
      <c r="R10" s="111"/>
      <c r="S10" s="120" t="s">
        <v>182</v>
      </c>
      <c r="T10" s="237">
        <f>Q8</f>
        <v>3.4875832928060655</v>
      </c>
      <c r="U10" s="237"/>
      <c r="V10" s="237"/>
      <c r="W10" s="237"/>
      <c r="X10" s="237"/>
      <c r="Y10" s="237"/>
      <c r="Z10" s="237"/>
      <c r="AA10" s="237"/>
    </row>
    <row r="11" spans="1:27" ht="15">
      <c r="A11" s="115"/>
      <c r="B11" s="115"/>
      <c r="C11" s="116"/>
      <c r="D11" s="116"/>
      <c r="E11" s="116"/>
      <c r="F11" s="116"/>
      <c r="G11" s="116"/>
      <c r="H11" s="116"/>
      <c r="I11" s="116"/>
      <c r="J11" s="116"/>
      <c r="K11" s="116"/>
      <c r="L11" s="116"/>
      <c r="M11" s="116"/>
      <c r="N11" s="395"/>
      <c r="O11" s="116"/>
      <c r="P11" s="416" t="s">
        <v>183</v>
      </c>
      <c r="Q11" s="390">
        <f>(M12*M18/(100*M23))</f>
        <v>5.2891700452633197</v>
      </c>
      <c r="R11" s="111"/>
      <c r="S11" s="120" t="s">
        <v>0</v>
      </c>
      <c r="T11" s="122">
        <f>Q25</f>
        <v>0.31165352403410473</v>
      </c>
      <c r="U11" s="122"/>
      <c r="V11" s="122"/>
      <c r="W11" s="122"/>
      <c r="X11" s="122"/>
      <c r="Y11" s="122"/>
      <c r="Z11" s="122"/>
      <c r="AA11" s="122"/>
    </row>
    <row r="12" spans="1:27" ht="15">
      <c r="A12" s="115" t="s">
        <v>184</v>
      </c>
      <c r="B12" s="125"/>
      <c r="C12" s="125"/>
      <c r="D12" s="125">
        <f>'Financials FY'!H130</f>
        <v>0</v>
      </c>
      <c r="E12" s="125">
        <f>'Financials FY'!I130</f>
        <v>0.81</v>
      </c>
      <c r="F12" s="125">
        <f>'Financials FY'!J130</f>
        <v>1.7</v>
      </c>
      <c r="G12" s="125">
        <f>'Financials FY'!K130</f>
        <v>7.2</v>
      </c>
      <c r="H12" s="125">
        <f>'Financials FY'!L130</f>
        <v>7.56</v>
      </c>
      <c r="I12" s="125">
        <f>'Financials FY'!M130</f>
        <v>48</v>
      </c>
      <c r="J12" s="125">
        <f>'Financials FY'!N130</f>
        <v>4001.38</v>
      </c>
      <c r="K12" s="125">
        <f>'Financials FY'!O130</f>
        <v>7000</v>
      </c>
      <c r="L12" s="125">
        <f>'Financials FY'!P130</f>
        <v>11</v>
      </c>
      <c r="M12" s="125">
        <f>'Financials FY'!Q130</f>
        <v>11</v>
      </c>
      <c r="N12" s="125"/>
      <c r="O12" s="125"/>
      <c r="P12" s="117" t="s">
        <v>185</v>
      </c>
      <c r="Q12" s="216">
        <f>(M15-I15)/I15</f>
        <v>-0.95091716529596626</v>
      </c>
      <c r="R12" s="111"/>
      <c r="S12" s="120" t="s">
        <v>10</v>
      </c>
      <c r="T12" s="122">
        <f>Q26</f>
        <v>9.2055552043221064E-2</v>
      </c>
      <c r="U12" s="122"/>
      <c r="V12" s="122"/>
      <c r="W12" s="122"/>
      <c r="X12" s="122"/>
      <c r="Y12" s="122"/>
      <c r="Z12" s="122"/>
      <c r="AA12" s="122"/>
    </row>
    <row r="13" spans="1:27" ht="15">
      <c r="A13" s="115" t="s">
        <v>186</v>
      </c>
      <c r="B13" s="115"/>
      <c r="C13" s="116"/>
      <c r="D13" s="116"/>
      <c r="E13" s="116"/>
      <c r="F13" s="116"/>
      <c r="G13" s="116"/>
      <c r="H13" s="116"/>
      <c r="I13" s="116"/>
      <c r="J13" s="116"/>
      <c r="K13" s="116"/>
      <c r="L13" s="116"/>
      <c r="M13" s="116"/>
      <c r="N13" s="125"/>
      <c r="O13" s="116"/>
      <c r="P13" s="117" t="s">
        <v>187</v>
      </c>
      <c r="Q13" s="216">
        <f>(N15-M15)/M15</f>
        <v>0</v>
      </c>
      <c r="R13" s="111"/>
      <c r="S13" s="120" t="s">
        <v>92</v>
      </c>
      <c r="T13" s="237">
        <f>Q18*100</f>
        <v>3.1540465349429803</v>
      </c>
      <c r="U13" s="139"/>
      <c r="V13" s="139"/>
      <c r="W13" s="139"/>
      <c r="X13" s="139"/>
      <c r="Y13" s="139"/>
      <c r="Z13" s="139"/>
      <c r="AA13" s="139"/>
    </row>
    <row r="14" spans="1:27" ht="15">
      <c r="A14" s="115" t="s">
        <v>188</v>
      </c>
      <c r="B14" s="116"/>
      <c r="C14" s="116">
        <f>'Financials FY'!G25</f>
        <v>0</v>
      </c>
      <c r="D14" s="116">
        <f>'Financials FY'!H25</f>
        <v>-1033304</v>
      </c>
      <c r="E14" s="116">
        <f>'Financials FY'!I25</f>
        <v>-834961</v>
      </c>
      <c r="F14" s="116">
        <f>'Financials FY'!J25</f>
        <v>-2804842</v>
      </c>
      <c r="G14" s="116">
        <f>'Financials FY'!K25</f>
        <v>-3498454</v>
      </c>
      <c r="H14" s="116">
        <f>'Financials FY'!L25</f>
        <v>9167385</v>
      </c>
      <c r="I14" s="116">
        <f>'Financials FY'!M25</f>
        <v>153831213</v>
      </c>
      <c r="J14" s="116">
        <f>'Financials FY'!N25</f>
        <v>526238344</v>
      </c>
      <c r="K14" s="116">
        <f>'Financials FY'!O25</f>
        <v>3386459000</v>
      </c>
      <c r="L14" s="116">
        <f>'Financials FY'!P25</f>
        <v>12400715</v>
      </c>
      <c r="M14" s="116">
        <f>'Financials FY'!Q25</f>
        <v>7550472</v>
      </c>
      <c r="N14" s="116">
        <f>M14*(1+DCF!L13)</f>
        <v>7550472</v>
      </c>
      <c r="O14" s="115"/>
      <c r="P14" s="117" t="s">
        <v>189</v>
      </c>
      <c r="Q14" s="391">
        <f>(M23-I23)/I23</f>
        <v>-0.99155727275737449</v>
      </c>
      <c r="R14" s="111"/>
      <c r="S14" s="120" t="s">
        <v>1</v>
      </c>
      <c r="T14" s="128">
        <f>Q9</f>
        <v>1.0869176235654772</v>
      </c>
      <c r="U14" s="128"/>
      <c r="V14" s="128"/>
      <c r="W14" s="128"/>
      <c r="X14" s="128"/>
      <c r="Y14" s="128"/>
      <c r="Z14" s="128"/>
      <c r="AA14" s="128"/>
    </row>
    <row r="15" spans="1:27" ht="15">
      <c r="A15" s="115" t="s">
        <v>190</v>
      </c>
      <c r="B15" s="116"/>
      <c r="C15" s="116">
        <f>'Financials FY'!G19</f>
        <v>0</v>
      </c>
      <c r="D15" s="116">
        <f>'Financials FY'!H19</f>
        <v>-1033304</v>
      </c>
      <c r="E15" s="116">
        <f>'Financials FY'!I19</f>
        <v>-834961</v>
      </c>
      <c r="F15" s="116">
        <f>'Financials FY'!J19</f>
        <v>-2804842</v>
      </c>
      <c r="G15" s="116">
        <f>'Financials FY'!K19</f>
        <v>-3498454</v>
      </c>
      <c r="H15" s="116">
        <f>'Financials FY'!L19</f>
        <v>9167385</v>
      </c>
      <c r="I15" s="116">
        <f>'Financials FY'!M19</f>
        <v>153831213</v>
      </c>
      <c r="J15" s="116">
        <f>'Financials FY'!N19</f>
        <v>526238344</v>
      </c>
      <c r="K15" s="116">
        <f>'Financials FY'!O19</f>
        <v>3386459000</v>
      </c>
      <c r="L15" s="116">
        <f>'Financials FY'!P19</f>
        <v>12400715</v>
      </c>
      <c r="M15" s="116">
        <f>'Financials FY'!Q19</f>
        <v>7550472</v>
      </c>
      <c r="N15" s="116">
        <f>M15*(1+DCF!L13)</f>
        <v>7550472</v>
      </c>
      <c r="O15" s="115"/>
      <c r="P15" s="117"/>
      <c r="Q15" s="391"/>
      <c r="R15" s="111"/>
      <c r="S15" s="120" t="s">
        <v>131</v>
      </c>
      <c r="T15" s="456">
        <f>DCF!C38</f>
        <v>21657700.414857745</v>
      </c>
      <c r="U15" s="128"/>
      <c r="V15" s="128"/>
      <c r="W15" s="128"/>
      <c r="X15" s="128"/>
      <c r="Y15" s="128"/>
      <c r="Z15" s="128"/>
      <c r="AA15" s="128"/>
    </row>
    <row r="16" spans="1:27" ht="15">
      <c r="A16" s="115" t="s">
        <v>67</v>
      </c>
      <c r="B16" s="116"/>
      <c r="C16" s="116"/>
      <c r="D16" s="116">
        <f>'Financials FY'!H3</f>
        <v>14848743</v>
      </c>
      <c r="E16" s="116">
        <f>'Financials FY'!I3</f>
        <v>10039549</v>
      </c>
      <c r="F16" s="116">
        <f>'Financials FY'!J3</f>
        <v>19139918</v>
      </c>
      <c r="G16" s="116">
        <f>'Financials FY'!K3</f>
        <v>27451196</v>
      </c>
      <c r="H16" s="116">
        <f>'Financials FY'!L3</f>
        <v>248549590</v>
      </c>
      <c r="I16" s="116">
        <f>'Financials FY'!M3</f>
        <v>1498657461</v>
      </c>
      <c r="J16" s="116">
        <f>'Financials FY'!N3</f>
        <v>8390738256</v>
      </c>
      <c r="K16" s="116">
        <f>'Financials FY'!O3</f>
        <v>25284481000</v>
      </c>
      <c r="L16" s="116">
        <f>'Financials FY'!P3</f>
        <v>49818414</v>
      </c>
      <c r="M16" s="116">
        <f>'Financials FY'!Q3</f>
        <v>53834005</v>
      </c>
      <c r="N16" s="116">
        <f>DCF!B16</f>
        <v>57112495.9045</v>
      </c>
      <c r="O16" s="115"/>
      <c r="P16" s="117" t="s">
        <v>193</v>
      </c>
      <c r="Q16" s="391">
        <f>(M16-I16)/I16</f>
        <v>-0.96407851266821276</v>
      </c>
      <c r="R16" s="111"/>
      <c r="S16" s="418" t="s">
        <v>192</v>
      </c>
      <c r="T16" s="418">
        <f>Q24</f>
        <v>26332900</v>
      </c>
      <c r="U16" s="120"/>
      <c r="V16" s="120"/>
      <c r="W16" s="120"/>
      <c r="X16" s="120"/>
      <c r="Y16" s="120"/>
      <c r="Z16" s="120"/>
      <c r="AA16" s="120"/>
    </row>
    <row r="17" spans="1:27" ht="15">
      <c r="A17" s="115" t="s">
        <v>79</v>
      </c>
      <c r="B17" s="116"/>
      <c r="C17" s="116">
        <f>'Financials FY'!G71</f>
        <v>0</v>
      </c>
      <c r="D17" s="116">
        <f>'Financials FY'!H71</f>
        <v>20112053</v>
      </c>
      <c r="E17" s="116">
        <f>'Financials FY'!I71</f>
        <v>11790662</v>
      </c>
      <c r="F17" s="116">
        <f>'Financials FY'!J71</f>
        <v>12311543</v>
      </c>
      <c r="G17" s="116">
        <f>'Financials FY'!K71</f>
        <v>14038405</v>
      </c>
      <c r="H17" s="116">
        <f>'Financials FY'!L71</f>
        <v>102795573</v>
      </c>
      <c r="I17" s="116">
        <f>'Financials FY'!M71</f>
        <v>1162729925</v>
      </c>
      <c r="J17" s="116">
        <f>'Financials FY'!N71</f>
        <v>2674849654</v>
      </c>
      <c r="K17" s="116">
        <f>'Financials FY'!O71</f>
        <v>11550071000</v>
      </c>
      <c r="L17" s="116">
        <f>'Financials FY'!P71</f>
        <v>29924703</v>
      </c>
      <c r="M17" s="116">
        <f>'Financials FY'!Q71</f>
        <v>24227135</v>
      </c>
      <c r="N17" s="116"/>
      <c r="O17" s="115"/>
      <c r="P17" s="117" t="s">
        <v>195</v>
      </c>
      <c r="Q17" s="391">
        <f>(N16-M16)/M16</f>
        <v>6.0900000000000003E-2</v>
      </c>
      <c r="R17" s="111"/>
      <c r="S17" s="120" t="s">
        <v>194</v>
      </c>
      <c r="T17" s="120">
        <f>M38</f>
        <v>27818259</v>
      </c>
      <c r="U17" s="120"/>
      <c r="V17" s="120"/>
      <c r="W17" s="120"/>
      <c r="X17" s="120"/>
      <c r="Y17" s="120"/>
      <c r="Z17" s="120"/>
      <c r="AA17" s="120"/>
    </row>
    <row r="18" spans="1:27" ht="15">
      <c r="A18" s="115" t="s">
        <v>111</v>
      </c>
      <c r="B18" s="116"/>
      <c r="C18" s="116"/>
      <c r="D18" s="116">
        <f>'Financials FY'!H131</f>
        <v>0</v>
      </c>
      <c r="E18" s="116">
        <f>'Financials FY'!I131</f>
        <v>220493732</v>
      </c>
      <c r="F18" s="116">
        <f>'Financials FY'!J131</f>
        <v>220493732</v>
      </c>
      <c r="G18" s="116">
        <f>'Financials FY'!K131</f>
        <v>232019894</v>
      </c>
      <c r="H18" s="116">
        <f>'Financials FY'!L131</f>
        <v>233182394</v>
      </c>
      <c r="I18" s="116">
        <f>'Financials FY'!M131</f>
        <v>241653707</v>
      </c>
      <c r="J18" s="116">
        <f>'Financials FY'!N131</f>
        <v>241653707</v>
      </c>
      <c r="K18" s="116">
        <f>'Financials FY'!O131</f>
        <v>241653707</v>
      </c>
      <c r="L18" s="116">
        <f>'Financials FY'!P131</f>
        <v>241653707</v>
      </c>
      <c r="M18" s="116">
        <f>'Financials FY'!Q131</f>
        <v>239390000</v>
      </c>
      <c r="N18" s="116"/>
      <c r="O18" s="115"/>
      <c r="P18" s="416" t="s">
        <v>196</v>
      </c>
      <c r="Q18" s="392">
        <f>M14/M18</f>
        <v>3.1540465349429801E-2</v>
      </c>
      <c r="R18" s="111"/>
      <c r="S18" s="120" t="s">
        <v>111</v>
      </c>
      <c r="T18" s="120">
        <f>M18</f>
        <v>239390000</v>
      </c>
      <c r="U18" s="120"/>
      <c r="V18" s="120"/>
      <c r="W18" s="120"/>
      <c r="X18" s="120"/>
      <c r="Y18" s="120"/>
      <c r="Z18" s="120"/>
      <c r="AA18" s="120"/>
    </row>
    <row r="19" spans="1:27" ht="15">
      <c r="A19" s="115" t="s">
        <v>198</v>
      </c>
      <c r="B19" s="116"/>
      <c r="C19" s="116"/>
      <c r="D19" s="116">
        <f>'Financials FY'!H55</f>
        <v>1729139</v>
      </c>
      <c r="E19" s="116">
        <f>'Financials FY'!I55</f>
        <v>737173</v>
      </c>
      <c r="F19" s="116">
        <f>'Financials FY'!J55</f>
        <v>780267</v>
      </c>
      <c r="G19" s="116">
        <f>'Financials FY'!K55</f>
        <v>1294967</v>
      </c>
      <c r="H19" s="116">
        <f>'Financials FY'!L55</f>
        <v>23534630</v>
      </c>
      <c r="I19" s="116">
        <f>'Financials FY'!M55</f>
        <v>53049371</v>
      </c>
      <c r="J19" s="116">
        <f>'Financials FY'!N55</f>
        <v>382425791</v>
      </c>
      <c r="K19" s="116">
        <f>'Financials FY'!O55</f>
        <v>6048304000</v>
      </c>
      <c r="L19" s="116">
        <f>'Financials FY'!P55</f>
        <v>1538014</v>
      </c>
      <c r="M19" s="116">
        <f>'Financials FY'!Q55</f>
        <v>2731700</v>
      </c>
      <c r="N19" s="116"/>
      <c r="O19" s="115"/>
      <c r="P19" s="117" t="s">
        <v>199</v>
      </c>
      <c r="Q19" s="216">
        <f>(M10-K10)/K10</f>
        <v>-0.99823367856615197</v>
      </c>
      <c r="R19" s="111"/>
      <c r="S19" s="129" t="s">
        <v>197</v>
      </c>
      <c r="T19" s="130"/>
      <c r="U19" s="130"/>
      <c r="V19" s="130"/>
      <c r="W19" s="130"/>
      <c r="X19" s="130"/>
      <c r="Y19" s="130"/>
      <c r="Z19" s="130"/>
      <c r="AA19" s="130"/>
    </row>
    <row r="20" spans="1:27" ht="15">
      <c r="A20" s="115" t="s">
        <v>130</v>
      </c>
      <c r="B20" s="115"/>
      <c r="C20" s="115"/>
      <c r="D20" s="115">
        <f>'Financials FY'!H70</f>
        <v>0</v>
      </c>
      <c r="E20" s="115">
        <f>'Financials FY'!I70</f>
        <v>0</v>
      </c>
      <c r="F20" s="115">
        <f>'Financials FY'!J70</f>
        <v>0</v>
      </c>
      <c r="G20" s="115">
        <f>'Financials FY'!K70</f>
        <v>0</v>
      </c>
      <c r="H20" s="115">
        <f>'Financials FY'!L70</f>
        <v>0</v>
      </c>
      <c r="I20" s="115">
        <f>'Financials FY'!M70</f>
        <v>0</v>
      </c>
      <c r="J20" s="115">
        <f>'Financials FY'!N70</f>
        <v>0</v>
      </c>
      <c r="K20" s="115">
        <f>'Financials FY'!O70</f>
        <v>0</v>
      </c>
      <c r="L20" s="115">
        <f>'Financials FY'!P70</f>
        <v>0</v>
      </c>
      <c r="M20" s="115">
        <f>'Financials FY'!Q70</f>
        <v>0</v>
      </c>
      <c r="N20" s="115"/>
      <c r="O20" s="115"/>
      <c r="P20" s="117" t="s">
        <v>200</v>
      </c>
      <c r="Q20" s="216">
        <f>(N10-M10)/M10</f>
        <v>0</v>
      </c>
      <c r="R20" s="111"/>
      <c r="S20" s="111"/>
      <c r="T20" s="111"/>
      <c r="U20" s="111"/>
      <c r="V20" s="111"/>
      <c r="W20" s="111"/>
      <c r="X20" s="111"/>
      <c r="Y20" s="111"/>
      <c r="Z20" s="111"/>
      <c r="AA20" s="111"/>
    </row>
    <row r="21" spans="1:27" ht="15">
      <c r="A21" s="115" t="s">
        <v>202</v>
      </c>
      <c r="B21" s="115"/>
      <c r="C21" s="116"/>
      <c r="D21" s="116"/>
      <c r="E21" s="116"/>
      <c r="F21" s="116"/>
      <c r="G21" s="116"/>
      <c r="H21" s="116"/>
      <c r="I21" s="116"/>
      <c r="J21" s="116"/>
      <c r="K21" s="116"/>
      <c r="L21" s="116"/>
      <c r="M21" s="116"/>
      <c r="N21" s="116"/>
      <c r="O21" s="116"/>
      <c r="P21" s="117" t="s">
        <v>203</v>
      </c>
      <c r="Q21" s="216">
        <f>(M33-I33)/I33</f>
        <v>-21.147273612463486</v>
      </c>
      <c r="R21" s="111"/>
      <c r="S21" s="114" t="s">
        <v>201</v>
      </c>
      <c r="T21" s="114"/>
      <c r="U21" s="114"/>
      <c r="V21" s="114"/>
      <c r="W21" s="114"/>
      <c r="X21" s="114"/>
      <c r="Y21" s="114"/>
      <c r="Z21" s="114"/>
      <c r="AA21" s="114"/>
    </row>
    <row r="22" spans="1:27" ht="15">
      <c r="A22" s="115" t="s">
        <v>204</v>
      </c>
      <c r="B22" s="116"/>
      <c r="C22" s="116"/>
      <c r="D22" s="116">
        <f>'Financials FY'!H97</f>
        <v>1969797</v>
      </c>
      <c r="E22" s="116">
        <f>'Financials FY'!I97</f>
        <v>1969797</v>
      </c>
      <c r="F22" s="116">
        <f>'Financials FY'!J97</f>
        <v>591511</v>
      </c>
      <c r="G22" s="116">
        <f>'Financials FY'!K97</f>
        <v>2265802</v>
      </c>
      <c r="H22" s="116">
        <f>'Financials FY'!L97</f>
        <v>20072981</v>
      </c>
      <c r="I22" s="116">
        <f>'Financials FY'!M97</f>
        <v>589696298</v>
      </c>
      <c r="J22" s="116">
        <f>'Financials FY'!N97</f>
        <v>615874311</v>
      </c>
      <c r="K22" s="116">
        <f>'Financials FY'!O97</f>
        <v>8721813000</v>
      </c>
      <c r="L22" s="116">
        <f>'Financials FY'!P97</f>
        <v>771971</v>
      </c>
      <c r="M22" s="116">
        <f>'Financials FY'!Q97</f>
        <v>4978645</v>
      </c>
      <c r="N22" s="116"/>
      <c r="O22" s="115"/>
      <c r="P22" s="117"/>
      <c r="Q22" s="117"/>
      <c r="R22" s="111"/>
      <c r="S22" s="131" t="s">
        <v>3</v>
      </c>
      <c r="T22" s="131" t="str">
        <f>F1</f>
        <v>FY2016</v>
      </c>
      <c r="U22" s="131" t="str">
        <f>G1</f>
        <v>FY2017</v>
      </c>
      <c r="V22" s="131" t="str">
        <f>H1</f>
        <v>FY2018</v>
      </c>
      <c r="W22" s="131" t="str">
        <f t="shared" ref="W22:AA22" si="3">I1</f>
        <v>FY2019</v>
      </c>
      <c r="X22" s="131" t="str">
        <f t="shared" si="3"/>
        <v>FY2020</v>
      </c>
      <c r="Y22" s="131" t="str">
        <f t="shared" si="3"/>
        <v>FY2021</v>
      </c>
      <c r="Z22" s="131" t="str">
        <f t="shared" si="3"/>
        <v>FY2022</v>
      </c>
      <c r="AA22" s="131" t="str">
        <f t="shared" si="3"/>
        <v>FY2023</v>
      </c>
    </row>
    <row r="23" spans="1:27" ht="15">
      <c r="A23" s="115" t="s">
        <v>41</v>
      </c>
      <c r="B23" s="116"/>
      <c r="C23" s="116">
        <f>'Financials FY'!G92</f>
        <v>0</v>
      </c>
      <c r="D23" s="116">
        <f>'Financials FY'!H92</f>
        <v>1969797</v>
      </c>
      <c r="E23" s="116">
        <f>'Financials FY'!I92</f>
        <v>1633461</v>
      </c>
      <c r="F23" s="116">
        <f>'Financials FY'!J92</f>
        <v>553165</v>
      </c>
      <c r="G23" s="116">
        <f>'Financials FY'!K92</f>
        <v>2383250</v>
      </c>
      <c r="H23" s="116">
        <f>'Financials FY'!L92</f>
        <v>20072981</v>
      </c>
      <c r="I23" s="116">
        <f>'Financials FY'!M92</f>
        <v>589696298</v>
      </c>
      <c r="J23" s="116">
        <f>'Financials FY'!N92</f>
        <v>615874311</v>
      </c>
      <c r="K23" s="116">
        <f>'Financials FY'!O92</f>
        <v>8721813000</v>
      </c>
      <c r="L23" s="116">
        <f>'Financials FY'!P92</f>
        <v>771971</v>
      </c>
      <c r="M23" s="116">
        <f>'Financials FY'!Q92</f>
        <v>4978645</v>
      </c>
      <c r="N23" s="116"/>
      <c r="O23" s="115"/>
      <c r="P23" s="117" t="s">
        <v>205</v>
      </c>
      <c r="Q23" s="392">
        <f>M22/M18*100</f>
        <v>2.0797213751618697</v>
      </c>
      <c r="R23" s="111"/>
      <c r="S23" s="120" t="s">
        <v>2</v>
      </c>
      <c r="T23" s="120">
        <f>F16</f>
        <v>19139918</v>
      </c>
      <c r="U23" s="120">
        <f>G16</f>
        <v>27451196</v>
      </c>
      <c r="V23" s="120">
        <f>H16</f>
        <v>248549590</v>
      </c>
      <c r="W23" s="120">
        <f t="shared" ref="W23:AA23" si="4">I16</f>
        <v>1498657461</v>
      </c>
      <c r="X23" s="120">
        <f t="shared" si="4"/>
        <v>8390738256</v>
      </c>
      <c r="Y23" s="120">
        <f t="shared" si="4"/>
        <v>25284481000</v>
      </c>
      <c r="Z23" s="120">
        <f t="shared" si="4"/>
        <v>49818414</v>
      </c>
      <c r="AA23" s="120">
        <f t="shared" si="4"/>
        <v>53834005</v>
      </c>
    </row>
    <row r="24" spans="1:27" ht="15">
      <c r="A24" s="115" t="s">
        <v>206</v>
      </c>
      <c r="B24" s="116"/>
      <c r="C24" s="116"/>
      <c r="D24" s="116">
        <f>'Financials FY'!H58</f>
        <v>17418677</v>
      </c>
      <c r="E24" s="116">
        <f>'Financials FY'!I58</f>
        <v>9874579</v>
      </c>
      <c r="F24" s="116">
        <f>'Financials FY'!J58</f>
        <v>11924380</v>
      </c>
      <c r="G24" s="116">
        <f>'Financials FY'!K58</f>
        <v>17666048</v>
      </c>
      <c r="H24" s="116">
        <f>'Financials FY'!L58</f>
        <v>161193886</v>
      </c>
      <c r="I24" s="116">
        <f>'Financials FY'!M58</f>
        <v>955290015</v>
      </c>
      <c r="J24" s="116">
        <f>'Financials FY'!N58</f>
        <v>4966412877</v>
      </c>
      <c r="K24" s="116">
        <f>'Financials FY'!O58</f>
        <v>26353465000</v>
      </c>
      <c r="L24" s="116">
        <f>'Financials FY'!P58</f>
        <v>33325474</v>
      </c>
      <c r="M24" s="116">
        <f>'Financials FY'!Q58</f>
        <v>54275026</v>
      </c>
      <c r="N24" s="116"/>
      <c r="O24" s="115"/>
      <c r="P24" s="117" t="s">
        <v>207</v>
      </c>
      <c r="Q24" s="393">
        <f>M18*M12/100</f>
        <v>26332900</v>
      </c>
      <c r="R24" s="111"/>
      <c r="S24" s="120" t="s">
        <v>81</v>
      </c>
      <c r="T24" s="120">
        <f>F7</f>
        <v>19139918</v>
      </c>
      <c r="U24" s="120">
        <f>G7</f>
        <v>4197192</v>
      </c>
      <c r="V24" s="120">
        <f>H7</f>
        <v>0</v>
      </c>
      <c r="W24" s="120">
        <f t="shared" ref="W24:AA24" si="5">I7</f>
        <v>1498657461</v>
      </c>
      <c r="X24" s="120">
        <f t="shared" si="5"/>
        <v>8390738256</v>
      </c>
      <c r="Y24" s="120">
        <f t="shared" si="5"/>
        <v>25284481000</v>
      </c>
      <c r="Z24" s="120">
        <f t="shared" si="5"/>
        <v>49818414</v>
      </c>
      <c r="AA24" s="120">
        <f t="shared" si="5"/>
        <v>53834005</v>
      </c>
    </row>
    <row r="25" spans="1:27" ht="15">
      <c r="A25" s="115" t="s">
        <v>208</v>
      </c>
      <c r="B25" s="116"/>
      <c r="C25" s="116"/>
      <c r="D25" s="116">
        <f>'Financials FY'!H86</f>
        <v>11033528</v>
      </c>
      <c r="E25" s="116">
        <f>'Financials FY'!I86</f>
        <v>7967258</v>
      </c>
      <c r="F25" s="116">
        <f>'Financials FY'!J86</f>
        <v>10564576</v>
      </c>
      <c r="G25" s="116">
        <f>'Financials FY'!K86</f>
        <v>15929669</v>
      </c>
      <c r="H25" s="116">
        <f>'Financials FY'!L86</f>
        <v>140240986</v>
      </c>
      <c r="I25" s="116">
        <f>'Financials FY'!M86</f>
        <v>638338362</v>
      </c>
      <c r="J25" s="116">
        <f>'Financials FY'!N86</f>
        <v>4235153252</v>
      </c>
      <c r="K25" s="116">
        <f>'Financials FY'!O86</f>
        <v>24618756000</v>
      </c>
      <c r="L25" s="116">
        <f>'Financials FY'!P86</f>
        <v>25805431</v>
      </c>
      <c r="M25" s="116">
        <f>'Financials FY'!Q86</f>
        <v>53695885</v>
      </c>
      <c r="N25" s="116"/>
      <c r="O25" s="115"/>
      <c r="P25" s="117" t="s">
        <v>0</v>
      </c>
      <c r="Q25" s="391">
        <f>M14/M17</f>
        <v>0.31165352403410473</v>
      </c>
      <c r="R25" s="111"/>
      <c r="S25" s="120" t="s">
        <v>68</v>
      </c>
      <c r="T25" s="120">
        <f>F10</f>
        <v>-2685172</v>
      </c>
      <c r="U25" s="120">
        <f>G10</f>
        <v>-2946075</v>
      </c>
      <c r="V25" s="120">
        <f>H10</f>
        <v>11596451</v>
      </c>
      <c r="W25" s="120">
        <f t="shared" ref="W25:AA25" si="6">I10</f>
        <v>402731168</v>
      </c>
      <c r="X25" s="120">
        <f t="shared" si="6"/>
        <v>1567387720</v>
      </c>
      <c r="Y25" s="120">
        <f t="shared" si="6"/>
        <v>4663423000</v>
      </c>
      <c r="Z25" s="120">
        <f t="shared" si="6"/>
        <v>12367050</v>
      </c>
      <c r="AA25" s="120">
        <f t="shared" si="6"/>
        <v>8237104</v>
      </c>
    </row>
    <row r="26" spans="1:27" ht="15">
      <c r="A26" s="115" t="s">
        <v>210</v>
      </c>
      <c r="B26" s="116"/>
      <c r="C26" s="116">
        <f>'Financials FY'!G77</f>
        <v>0</v>
      </c>
      <c r="D26" s="116">
        <f>'Financials FY'!H77</f>
        <v>2823600</v>
      </c>
      <c r="E26" s="116">
        <f>'Financials FY'!I77</f>
        <v>1286033</v>
      </c>
      <c r="F26" s="116">
        <f>'Financials FY'!J77</f>
        <v>1566298</v>
      </c>
      <c r="G26" s="116">
        <f>'Financials FY'!K77</f>
        <v>3188102</v>
      </c>
      <c r="H26" s="116">
        <f>'Financials FY'!L77</f>
        <v>18181525</v>
      </c>
      <c r="I26" s="116">
        <f>'Financials FY'!M77</f>
        <v>258841370</v>
      </c>
      <c r="J26" s="116">
        <f>'Financials FY'!N77</f>
        <v>544495477</v>
      </c>
      <c r="K26" s="116">
        <f>'Financials FY'!O77</f>
        <v>3029134000</v>
      </c>
      <c r="L26" s="116">
        <f>'Financials FY'!P77</f>
        <v>7556664</v>
      </c>
      <c r="M26" s="116">
        <f>'Financials FY'!Q77</f>
        <v>7861646</v>
      </c>
      <c r="N26" s="116"/>
      <c r="O26" s="115"/>
      <c r="P26" s="117" t="s">
        <v>10</v>
      </c>
      <c r="Q26" s="391">
        <f>M10*(1-M37)/(M32+M24)</f>
        <v>9.2055552043221064E-2</v>
      </c>
      <c r="R26" s="111"/>
      <c r="S26" s="120" t="s">
        <v>209</v>
      </c>
      <c r="T26" s="120">
        <f>F15</f>
        <v>-2804842</v>
      </c>
      <c r="U26" s="120">
        <f>G15</f>
        <v>-3498454</v>
      </c>
      <c r="V26" s="120">
        <f>H15</f>
        <v>9167385</v>
      </c>
      <c r="W26" s="120">
        <f t="shared" ref="W26:AA26" si="7">I15</f>
        <v>153831213</v>
      </c>
      <c r="X26" s="120">
        <f t="shared" si="7"/>
        <v>526238344</v>
      </c>
      <c r="Y26" s="120">
        <f t="shared" si="7"/>
        <v>3386459000</v>
      </c>
      <c r="Z26" s="120">
        <f t="shared" si="7"/>
        <v>12400715</v>
      </c>
      <c r="AA26" s="120">
        <f t="shared" si="7"/>
        <v>7550472</v>
      </c>
    </row>
    <row r="27" spans="1:27" ht="15">
      <c r="A27" s="115" t="s">
        <v>211</v>
      </c>
      <c r="B27" s="116"/>
      <c r="C27" s="116"/>
      <c r="D27" s="116">
        <f>'Financials FY'!H51</f>
        <v>0</v>
      </c>
      <c r="E27" s="116">
        <f>'Financials FY'!I51</f>
        <v>1957829</v>
      </c>
      <c r="F27" s="116">
        <f>'Financials FY'!J51</f>
        <v>3579559</v>
      </c>
      <c r="G27" s="116">
        <f>'Financials FY'!K51</f>
        <v>5372084</v>
      </c>
      <c r="H27" s="116">
        <f>'Financials FY'!L51</f>
        <v>0</v>
      </c>
      <c r="I27" s="116">
        <f>'Financials FY'!M51</f>
        <v>0</v>
      </c>
      <c r="J27" s="116">
        <f>'Financials FY'!N51</f>
        <v>0</v>
      </c>
      <c r="K27" s="116">
        <f>'Financials FY'!O51</f>
        <v>0</v>
      </c>
      <c r="L27" s="116">
        <f>'Financials FY'!P51</f>
        <v>0</v>
      </c>
      <c r="M27" s="116">
        <f>'Financials FY'!Q51</f>
        <v>0</v>
      </c>
      <c r="N27" s="116"/>
      <c r="O27" s="115"/>
      <c r="P27" s="416" t="s">
        <v>11</v>
      </c>
      <c r="Q27" s="391">
        <f>(M10*(1-M37)/(M31+M30+M17-M34))</f>
        <v>0.33782344568340855</v>
      </c>
      <c r="R27" s="132"/>
      <c r="S27" s="111"/>
      <c r="T27" s="111"/>
      <c r="U27" s="111"/>
      <c r="V27" s="111"/>
      <c r="W27" s="111"/>
      <c r="X27" s="111"/>
      <c r="Y27" s="111"/>
      <c r="Z27" s="111"/>
      <c r="AA27" s="111"/>
    </row>
    <row r="28" spans="1:27" ht="15">
      <c r="A28" s="115" t="s">
        <v>213</v>
      </c>
      <c r="B28" s="116"/>
      <c r="C28" s="116">
        <f>-'Financials FY'!G4</f>
        <v>0</v>
      </c>
      <c r="D28" s="116">
        <f>-'Financials FY'!H4</f>
        <v>0</v>
      </c>
      <c r="E28" s="116">
        <f>-'Financials FY'!I4</f>
        <v>0</v>
      </c>
      <c r="F28" s="116">
        <f>-'Financials FY'!J4</f>
        <v>0</v>
      </c>
      <c r="G28" s="116">
        <f>-'Financials FY'!K4</f>
        <v>23254004</v>
      </c>
      <c r="H28" s="116">
        <f>-'Financials FY'!L4</f>
        <v>-248549590</v>
      </c>
      <c r="I28" s="116">
        <f>-'Financials FY'!M4</f>
        <v>0</v>
      </c>
      <c r="J28" s="116">
        <f>-'Financials FY'!N4</f>
        <v>0</v>
      </c>
      <c r="K28" s="116">
        <f>-'Financials FY'!O4</f>
        <v>0</v>
      </c>
      <c r="L28" s="116">
        <f>-'Financials FY'!P4</f>
        <v>0</v>
      </c>
      <c r="M28" s="116">
        <f>-'Financials FY'!Q4</f>
        <v>0</v>
      </c>
      <c r="N28" s="116"/>
      <c r="O28" s="115"/>
      <c r="P28" s="117" t="s">
        <v>214</v>
      </c>
      <c r="Q28" s="391">
        <f>M15/M16</f>
        <v>0.14025469589342276</v>
      </c>
      <c r="R28" s="111"/>
      <c r="S28" s="131" t="s">
        <v>212</v>
      </c>
      <c r="T28" s="131" t="str">
        <f t="shared" ref="T28" si="8">T22</f>
        <v>FY2016</v>
      </c>
      <c r="U28" s="131" t="str">
        <f t="shared" ref="U28:V28" si="9">U22</f>
        <v>FY2017</v>
      </c>
      <c r="V28" s="131" t="str">
        <f t="shared" si="9"/>
        <v>FY2018</v>
      </c>
      <c r="W28" s="131" t="str">
        <f t="shared" ref="W28:AA28" si="10">W22</f>
        <v>FY2019</v>
      </c>
      <c r="X28" s="131" t="str">
        <f t="shared" si="10"/>
        <v>FY2020</v>
      </c>
      <c r="Y28" s="131" t="str">
        <f t="shared" si="10"/>
        <v>FY2021</v>
      </c>
      <c r="Z28" s="131" t="str">
        <f t="shared" si="10"/>
        <v>FY2022</v>
      </c>
      <c r="AA28" s="131" t="str">
        <f t="shared" si="10"/>
        <v>FY2023</v>
      </c>
    </row>
    <row r="29" spans="1:27" ht="15">
      <c r="A29" s="115" t="s">
        <v>216</v>
      </c>
      <c r="B29" s="116"/>
      <c r="C29" s="116">
        <f>'Financials FY'!G49</f>
        <v>0</v>
      </c>
      <c r="D29" s="116">
        <f>'Financials FY'!H49</f>
        <v>5365107</v>
      </c>
      <c r="E29" s="116">
        <f>'Financials FY'!I49</f>
        <v>400472</v>
      </c>
      <c r="F29" s="116">
        <f>'Financials FY'!J49</f>
        <v>954819</v>
      </c>
      <c r="G29" s="116">
        <f>'Financials FY'!K49</f>
        <v>1200575</v>
      </c>
      <c r="H29" s="116">
        <f>'Financials FY'!L49</f>
        <v>10720948</v>
      </c>
      <c r="I29" s="116">
        <f>'Financials FY'!M49</f>
        <v>128694039</v>
      </c>
      <c r="J29" s="116">
        <f>'Financials FY'!N49</f>
        <v>189327333</v>
      </c>
      <c r="K29" s="116">
        <f>'Financials FY'!O49</f>
        <v>638045000</v>
      </c>
      <c r="L29" s="116">
        <f>'Financials FY'!P49</f>
        <v>507804</v>
      </c>
      <c r="M29" s="116">
        <f>'Financials FY'!Q49</f>
        <v>4580974</v>
      </c>
      <c r="N29" s="116"/>
      <c r="O29" s="115"/>
      <c r="P29" s="117" t="s">
        <v>217</v>
      </c>
      <c r="Q29" s="117"/>
      <c r="R29" s="111"/>
      <c r="S29" s="120" t="s">
        <v>215</v>
      </c>
      <c r="T29" s="120">
        <f>F22</f>
        <v>591511</v>
      </c>
      <c r="U29" s="120">
        <f>G22</f>
        <v>2265802</v>
      </c>
      <c r="V29" s="120">
        <f>H22</f>
        <v>20072981</v>
      </c>
      <c r="W29" s="120">
        <f t="shared" ref="W29:AA29" si="11">I22</f>
        <v>589696298</v>
      </c>
      <c r="X29" s="120">
        <f t="shared" si="11"/>
        <v>615874311</v>
      </c>
      <c r="Y29" s="120">
        <f t="shared" si="11"/>
        <v>8721813000</v>
      </c>
      <c r="Z29" s="120">
        <f t="shared" si="11"/>
        <v>771971</v>
      </c>
      <c r="AA29" s="120">
        <f t="shared" si="11"/>
        <v>4978645</v>
      </c>
    </row>
    <row r="30" spans="1:27" ht="15">
      <c r="A30" s="115" t="s">
        <v>219</v>
      </c>
      <c r="B30" s="116"/>
      <c r="C30" s="116"/>
      <c r="D30" s="116">
        <f>'Financials FY'!H81+'Financials FY'!H83</f>
        <v>1166667</v>
      </c>
      <c r="E30" s="116">
        <f>'Financials FY'!I81+'Financials FY'!I83</f>
        <v>222267</v>
      </c>
      <c r="F30" s="116">
        <f>'Financials FY'!J81+'Financials FY'!J83</f>
        <v>390267</v>
      </c>
      <c r="G30" s="116">
        <f>'Financials FY'!K81+'Financials FY'!K83</f>
        <v>489995</v>
      </c>
      <c r="H30" s="116">
        <f>'Financials FY'!L81+'Financials FY'!L83</f>
        <v>7191467</v>
      </c>
      <c r="I30" s="116">
        <f>'Financials FY'!M81+'Financials FY'!M83</f>
        <v>9713506</v>
      </c>
      <c r="J30" s="116">
        <f>'Financials FY'!N81+'Financials FY'!N83</f>
        <v>167426274</v>
      </c>
      <c r="K30" s="116">
        <f>'Financials FY'!O81+'Financials FY'!O83</f>
        <v>1138874000</v>
      </c>
      <c r="L30" s="116">
        <f>'Financials FY'!P81+'Financials FY'!P83</f>
        <v>456160</v>
      </c>
      <c r="M30" s="116">
        <f>'Financials FY'!Q81+'Financials FY'!Q83</f>
        <v>1880547</v>
      </c>
      <c r="N30" s="116"/>
      <c r="O30" s="115"/>
      <c r="P30" s="117" t="s">
        <v>220</v>
      </c>
      <c r="Q30" s="127" t="e">
        <f>((M16*2/(M27+I27))-(I16*2/(I27+M27)))/((I16*2/(I27+M27)))</f>
        <v>#DIV/0!</v>
      </c>
      <c r="R30" s="111"/>
      <c r="S30" s="120" t="s">
        <v>218</v>
      </c>
      <c r="T30" s="120">
        <f>F19</f>
        <v>780267</v>
      </c>
      <c r="U30" s="120">
        <f>G19</f>
        <v>1294967</v>
      </c>
      <c r="V30" s="120">
        <f>H19</f>
        <v>23534630</v>
      </c>
      <c r="W30" s="120">
        <f t="shared" ref="W30:AA30" si="12">I19</f>
        <v>53049371</v>
      </c>
      <c r="X30" s="120">
        <f t="shared" si="12"/>
        <v>382425791</v>
      </c>
      <c r="Y30" s="120">
        <f t="shared" si="12"/>
        <v>6048304000</v>
      </c>
      <c r="Z30" s="120">
        <f t="shared" si="12"/>
        <v>1538014</v>
      </c>
      <c r="AA30" s="120">
        <f t="shared" si="12"/>
        <v>2731700</v>
      </c>
    </row>
    <row r="31" spans="1:27" ht="15">
      <c r="A31" s="115" t="s">
        <v>221</v>
      </c>
      <c r="B31" s="116"/>
      <c r="C31" s="116">
        <f>'Financials FY'!G76+'Financials FY'!G75</f>
        <v>0</v>
      </c>
      <c r="D31" s="116">
        <f>'Financials FY'!H76+'Financials FY'!H75</f>
        <v>416667</v>
      </c>
      <c r="E31" s="116">
        <f>'Financials FY'!I76+'Financials FY'!I75</f>
        <v>222268</v>
      </c>
      <c r="F31" s="116">
        <f>'Financials FY'!J76+'Financials FY'!J75</f>
        <v>315567</v>
      </c>
      <c r="G31" s="116">
        <f>'Financials FY'!K76+'Financials FY'!K75</f>
        <v>1409130</v>
      </c>
      <c r="H31" s="116">
        <f>'Financials FY'!L76+'Financials FY'!L75</f>
        <v>3818246</v>
      </c>
      <c r="I31" s="116">
        <f>'Financials FY'!M76+'Financials FY'!M75</f>
        <v>11434433</v>
      </c>
      <c r="J31" s="116">
        <f>'Financials FY'!N76+'Financials FY'!N75</f>
        <v>40379961</v>
      </c>
      <c r="K31" s="116">
        <f>'Financials FY'!O76+'Financials FY'!O75</f>
        <v>0</v>
      </c>
      <c r="L31" s="116">
        <f>'Financials FY'!P76+'Financials FY'!P75</f>
        <v>0</v>
      </c>
      <c r="M31" s="116">
        <f>'Financials FY'!Q76+'Financials FY'!Q75</f>
        <v>0</v>
      </c>
      <c r="N31" s="116"/>
      <c r="O31" s="115"/>
      <c r="P31" s="117" t="s">
        <v>222</v>
      </c>
      <c r="Q31" s="127">
        <f>((I28*2/(I29+G29))-(G28*2/(G29+F29)))/(G28*2/(G29+F29))</f>
        <v>-1</v>
      </c>
      <c r="R31" s="111"/>
      <c r="S31" s="120" t="s">
        <v>83</v>
      </c>
      <c r="T31" s="120">
        <f>F33</f>
        <v>-1173693</v>
      </c>
      <c r="U31" s="120">
        <f>G33</f>
        <v>-654421</v>
      </c>
      <c r="V31" s="120">
        <f>H33</f>
        <v>18439430</v>
      </c>
      <c r="W31" s="120">
        <f t="shared" ref="W31:AA31" si="13">I33</f>
        <v>-41080</v>
      </c>
      <c r="X31" s="120">
        <f t="shared" si="13"/>
        <v>123341340</v>
      </c>
      <c r="Y31" s="120">
        <f t="shared" si="13"/>
        <v>4785081000</v>
      </c>
      <c r="Z31" s="120">
        <f t="shared" si="13"/>
        <v>-3974724</v>
      </c>
      <c r="AA31" s="120">
        <f t="shared" si="13"/>
        <v>827650</v>
      </c>
    </row>
    <row r="32" spans="1:27" ht="15">
      <c r="A32" s="115" t="s">
        <v>223</v>
      </c>
      <c r="B32" s="116"/>
      <c r="C32" s="116"/>
      <c r="D32" s="116">
        <f>'Financials FY'!H47</f>
        <v>16550504</v>
      </c>
      <c r="E32" s="116">
        <f>'Financials FY'!I47</f>
        <v>11169374</v>
      </c>
      <c r="F32" s="116">
        <f>'Financials FY'!J47</f>
        <v>12518037</v>
      </c>
      <c r="G32" s="116">
        <f>'Financials FY'!K47</f>
        <v>15490128</v>
      </c>
      <c r="H32" s="116">
        <f>'Financials FY'!L47</f>
        <v>100024198</v>
      </c>
      <c r="I32" s="116">
        <f>'Financials FY'!M47</f>
        <v>1104619642</v>
      </c>
      <c r="J32" s="116">
        <f>'Financials FY'!N47</f>
        <v>2488085506</v>
      </c>
      <c r="K32" s="116">
        <f>'Financials FY'!O47</f>
        <v>12844496000</v>
      </c>
      <c r="L32" s="116">
        <f>'Financials FY'!P47</f>
        <v>29961324</v>
      </c>
      <c r="M32" s="116">
        <f>'Financials FY'!Q47</f>
        <v>31509640</v>
      </c>
      <c r="N32" s="116"/>
      <c r="O32" s="115"/>
      <c r="P32" s="416" t="s">
        <v>35</v>
      </c>
      <c r="Q32" s="118">
        <f>(M30+M31)/(M24+M32)</f>
        <v>2.1921715006735586E-2</v>
      </c>
      <c r="R32" s="111"/>
      <c r="S32" s="120" t="s">
        <v>82</v>
      </c>
      <c r="T32" s="120">
        <f>F6</f>
        <v>1765204</v>
      </c>
      <c r="U32" s="120">
        <f>G6</f>
        <v>2920223</v>
      </c>
      <c r="V32" s="120">
        <f>H6</f>
        <v>1633551</v>
      </c>
      <c r="W32" s="120">
        <f t="shared" ref="W32:AA32" si="14">I6</f>
        <v>589737378</v>
      </c>
      <c r="X32" s="120">
        <f t="shared" si="14"/>
        <v>492532971</v>
      </c>
      <c r="Y32" s="120">
        <f t="shared" si="14"/>
        <v>3936732000</v>
      </c>
      <c r="Z32" s="120">
        <f t="shared" si="14"/>
        <v>4746695</v>
      </c>
      <c r="AA32" s="120">
        <f t="shared" si="14"/>
        <v>4150995</v>
      </c>
    </row>
    <row r="33" spans="1:27" ht="15">
      <c r="A33" s="115" t="s">
        <v>106</v>
      </c>
      <c r="B33" s="116"/>
      <c r="C33" s="116"/>
      <c r="D33" s="116">
        <f>'Financials FY'!H126</f>
        <v>1969797</v>
      </c>
      <c r="E33" s="116">
        <f>'Financials FY'!I126</f>
        <v>1834211</v>
      </c>
      <c r="F33" s="116">
        <f>'Financials FY'!J126</f>
        <v>-1173693</v>
      </c>
      <c r="G33" s="116">
        <f>'Financials FY'!K126</f>
        <v>-654421</v>
      </c>
      <c r="H33" s="116">
        <f>'Financials FY'!L126</f>
        <v>18439430</v>
      </c>
      <c r="I33" s="116">
        <f>'Financials FY'!M126</f>
        <v>-41080</v>
      </c>
      <c r="J33" s="116">
        <f>'Financials FY'!N126</f>
        <v>123341340</v>
      </c>
      <c r="K33" s="116">
        <f>'Financials FY'!O126</f>
        <v>4785081000</v>
      </c>
      <c r="L33" s="116">
        <f>'Financials FY'!P126</f>
        <v>-3974724</v>
      </c>
      <c r="M33" s="116">
        <f>'Financials FY'!Q126</f>
        <v>827650</v>
      </c>
      <c r="N33" s="116"/>
      <c r="O33" s="115"/>
      <c r="P33" s="117" t="s">
        <v>224</v>
      </c>
      <c r="Q33" s="127">
        <f>((2*I16/(I32+I24+G24+G32))-(2*G16/(G32+G24+F24+F32)))/(2*G16/(G32+G24+F24+F32))</f>
        <v>0.50234645269068978</v>
      </c>
      <c r="R33" s="111"/>
      <c r="S33" s="133"/>
      <c r="T33" s="133"/>
      <c r="U33" s="133"/>
      <c r="V33" s="133"/>
      <c r="W33" s="133"/>
      <c r="X33" s="133"/>
      <c r="Y33" s="133"/>
      <c r="Z33" s="133"/>
      <c r="AA33" s="133"/>
    </row>
    <row r="34" spans="1:27" ht="15">
      <c r="A34" s="115" t="s">
        <v>226</v>
      </c>
      <c r="B34" s="116"/>
      <c r="C34" s="116">
        <f>'Financials FY'!G55</f>
        <v>0</v>
      </c>
      <c r="D34" s="116">
        <f>'Financials FY'!H55</f>
        <v>1729139</v>
      </c>
      <c r="E34" s="116">
        <f>'Financials FY'!I55</f>
        <v>737173</v>
      </c>
      <c r="F34" s="116">
        <f>'Financials FY'!J55</f>
        <v>780267</v>
      </c>
      <c r="G34" s="116">
        <f>'Financials FY'!K55</f>
        <v>1294967</v>
      </c>
      <c r="H34" s="116">
        <f>'Financials FY'!L55</f>
        <v>23534630</v>
      </c>
      <c r="I34" s="116">
        <f>'Financials FY'!M55</f>
        <v>53049371</v>
      </c>
      <c r="J34" s="116">
        <f>'Financials FY'!N55</f>
        <v>382425791</v>
      </c>
      <c r="K34" s="116">
        <f>'Financials FY'!O55</f>
        <v>6048304000</v>
      </c>
      <c r="L34" s="116">
        <f>'Financials FY'!P55</f>
        <v>1538014</v>
      </c>
      <c r="M34" s="116">
        <f>'Financials FY'!Q55</f>
        <v>2731700</v>
      </c>
      <c r="N34" s="116"/>
      <c r="O34" s="116"/>
      <c r="P34" s="117" t="s">
        <v>227</v>
      </c>
      <c r="Q34" s="124">
        <f>M10/M5</f>
        <v>22.653865299622943</v>
      </c>
      <c r="R34" s="111"/>
      <c r="S34" s="131" t="s">
        <v>225</v>
      </c>
      <c r="T34" s="131" t="str">
        <f t="shared" ref="T34" si="15">T28</f>
        <v>FY2016</v>
      </c>
      <c r="U34" s="131" t="str">
        <f t="shared" ref="U34:V34" si="16">U28</f>
        <v>FY2017</v>
      </c>
      <c r="V34" s="131" t="str">
        <f t="shared" si="16"/>
        <v>FY2018</v>
      </c>
      <c r="W34" s="131" t="str">
        <f t="shared" ref="W34:AA34" si="17">W28</f>
        <v>FY2019</v>
      </c>
      <c r="X34" s="131" t="str">
        <f t="shared" si="17"/>
        <v>FY2020</v>
      </c>
      <c r="Y34" s="131" t="str">
        <f t="shared" si="17"/>
        <v>FY2021</v>
      </c>
      <c r="Z34" s="131" t="str">
        <f t="shared" si="17"/>
        <v>FY2022</v>
      </c>
      <c r="AA34" s="131" t="str">
        <f t="shared" si="17"/>
        <v>FY2023</v>
      </c>
    </row>
    <row r="35" spans="1:27" ht="15">
      <c r="A35" s="115" t="s">
        <v>228</v>
      </c>
      <c r="B35" s="116"/>
      <c r="C35" s="116"/>
      <c r="D35" s="116">
        <v>0</v>
      </c>
      <c r="E35" s="116">
        <v>0</v>
      </c>
      <c r="F35" s="116">
        <v>0</v>
      </c>
      <c r="G35" s="116">
        <v>0</v>
      </c>
      <c r="H35" s="116">
        <v>1</v>
      </c>
      <c r="I35" s="116">
        <v>2</v>
      </c>
      <c r="J35" s="116">
        <v>3</v>
      </c>
      <c r="K35" s="116">
        <v>4</v>
      </c>
      <c r="L35" s="116">
        <v>5</v>
      </c>
      <c r="M35" s="116">
        <v>6</v>
      </c>
      <c r="N35" s="116"/>
      <c r="O35" s="115"/>
      <c r="P35" s="117" t="s">
        <v>229</v>
      </c>
      <c r="Q35" s="127">
        <f>M30/M24</f>
        <v>3.4648477183594532E-2</v>
      </c>
      <c r="R35" s="111"/>
      <c r="S35" s="120" t="s">
        <v>84</v>
      </c>
      <c r="T35" s="120">
        <f>F32</f>
        <v>12518037</v>
      </c>
      <c r="U35" s="120">
        <f>G32</f>
        <v>15490128</v>
      </c>
      <c r="V35" s="120">
        <f>H32</f>
        <v>100024198</v>
      </c>
      <c r="W35" s="120">
        <f t="shared" ref="W35:AA35" si="18">I32</f>
        <v>1104619642</v>
      </c>
      <c r="X35" s="120">
        <f t="shared" si="18"/>
        <v>2488085506</v>
      </c>
      <c r="Y35" s="120">
        <f t="shared" si="18"/>
        <v>12844496000</v>
      </c>
      <c r="Z35" s="120">
        <f t="shared" si="18"/>
        <v>29961324</v>
      </c>
      <c r="AA35" s="120">
        <f t="shared" si="18"/>
        <v>31509640</v>
      </c>
    </row>
    <row r="36" spans="1:27" ht="15">
      <c r="A36" s="115" t="s">
        <v>230</v>
      </c>
      <c r="B36" s="116"/>
      <c r="C36" s="116"/>
      <c r="D36" s="116">
        <f>'Financials FY'!H134+'Financials FY'!H81+'Financials FY'!H76-'Financials FY'!H55</f>
        <v>-145805</v>
      </c>
      <c r="E36" s="116">
        <f>'Financials FY'!I134+'Financials FY'!I81+'Financials FY'!I76-'Financials FY'!I55</f>
        <v>1493361.2291999999</v>
      </c>
      <c r="F36" s="116">
        <f>'Financials FY'!J134+'Financials FY'!J81+'Financials FY'!J76-'Financials FY'!J55</f>
        <v>3673960.4440000001</v>
      </c>
      <c r="G36" s="116">
        <f>'Financials FY'!K134+'Financials FY'!K81+'Financials FY'!K76-'Financials FY'!K55</f>
        <v>16526318.368000001</v>
      </c>
      <c r="H36" s="116">
        <f>'Financials FY'!L134+'Financials FY'!L81+'Financials FY'!L76-'Financials FY'!L55</f>
        <v>-658213.01360000297</v>
      </c>
      <c r="I36" s="116">
        <f>'Financials FY'!M134+'Financials FY'!M81+'Financials FY'!M76-'Financials FY'!M55</f>
        <v>82151537.360000014</v>
      </c>
      <c r="J36" s="116">
        <f>'Financials FY'!N134+'Financials FY'!N81+'Financials FY'!N76-'Financials FY'!N55</f>
        <v>9494796562.156601</v>
      </c>
      <c r="K36" s="116">
        <f>'Financials FY'!O134+'Financials FY'!O81+'Financials FY'!O76-'Financials FY'!O55</f>
        <v>12006329490</v>
      </c>
      <c r="L36" s="116">
        <f>'Financials FY'!P134+'Financials FY'!P81+'Financials FY'!P76-'Financials FY'!P55</f>
        <v>25500053.77</v>
      </c>
      <c r="M36" s="116">
        <f>'Financials HY'!I75+'Financials HY'!I64-'Financials HY'!I38</f>
        <v>21332297.044</v>
      </c>
      <c r="N36" s="116"/>
      <c r="O36" s="115"/>
      <c r="P36" s="117" t="s">
        <v>231</v>
      </c>
      <c r="Q36" s="124">
        <f>M24/M25</f>
        <v>1.0107855750957453</v>
      </c>
      <c r="R36" s="111"/>
      <c r="S36" s="120" t="s">
        <v>71</v>
      </c>
      <c r="T36" s="120">
        <f>F24</f>
        <v>11924380</v>
      </c>
      <c r="U36" s="120">
        <f>G24</f>
        <v>17666048</v>
      </c>
      <c r="V36" s="120">
        <f>H24</f>
        <v>161193886</v>
      </c>
      <c r="W36" s="120">
        <f t="shared" ref="W36:AA36" si="19">I24</f>
        <v>955290015</v>
      </c>
      <c r="X36" s="120">
        <f t="shared" si="19"/>
        <v>4966412877</v>
      </c>
      <c r="Y36" s="120">
        <f t="shared" si="19"/>
        <v>26353465000</v>
      </c>
      <c r="Z36" s="120">
        <f t="shared" si="19"/>
        <v>33325474</v>
      </c>
      <c r="AA36" s="120">
        <f t="shared" si="19"/>
        <v>54275026</v>
      </c>
    </row>
    <row r="37" spans="1:27" ht="15">
      <c r="A37" s="115" t="s">
        <v>122</v>
      </c>
      <c r="B37" s="134"/>
      <c r="C37" s="134"/>
      <c r="D37" s="134">
        <f>'Financials FY'!H39</f>
        <v>0.71455245885317342</v>
      </c>
      <c r="E37" s="134">
        <f>'Financials FY'!I39</f>
        <v>0.52772229905342083</v>
      </c>
      <c r="F37" s="134">
        <f>'Financials FY'!J39</f>
        <v>-7.2267646964375001E-2</v>
      </c>
      <c r="G37" s="134">
        <f>'Financials FY'!K39</f>
        <v>-0.15727005715801698</v>
      </c>
      <c r="H37" s="134">
        <f>'Financials FY'!L39</f>
        <v>0.12909174077911048</v>
      </c>
      <c r="I37" s="134">
        <f>'Financials FY'!M39</f>
        <v>0.54310717714929224</v>
      </c>
      <c r="J37" s="134">
        <f>'Financials FY'!N39</f>
        <v>9.3438368296938315E-2</v>
      </c>
      <c r="K37" s="134">
        <f>'Financials FY'!O39</f>
        <v>0.27168570508086287</v>
      </c>
      <c r="L37" s="134">
        <f>'Financials FY'!P39</f>
        <v>6.6801144908771898E-2</v>
      </c>
      <c r="M37" s="134">
        <f>'Financials FY'!Q39</f>
        <v>4.1294757784612585E-2</v>
      </c>
      <c r="N37" s="134"/>
      <c r="O37" s="134"/>
      <c r="P37" s="416" t="s">
        <v>232</v>
      </c>
      <c r="Q37" s="417">
        <f>M33/(M31+M30)</f>
        <v>0.44011130803962889</v>
      </c>
      <c r="R37" s="111"/>
      <c r="S37" s="120" t="s">
        <v>85</v>
      </c>
      <c r="T37" s="120">
        <f>F3</f>
        <v>0</v>
      </c>
      <c r="U37" s="120">
        <f>G3</f>
        <v>8727868</v>
      </c>
      <c r="V37" s="120">
        <f>H3</f>
        <v>53986552</v>
      </c>
      <c r="W37" s="120">
        <f t="shared" ref="W37:AA37" si="20">I3</f>
        <v>757571799</v>
      </c>
      <c r="X37" s="120">
        <f t="shared" si="20"/>
        <v>1578414353</v>
      </c>
      <c r="Y37" s="120">
        <f t="shared" si="20"/>
        <v>7410742000</v>
      </c>
      <c r="Z37" s="120">
        <f t="shared" si="20"/>
        <v>19944208</v>
      </c>
      <c r="AA37" s="120">
        <f t="shared" si="20"/>
        <v>23630406</v>
      </c>
    </row>
    <row r="38" spans="1:27" ht="15">
      <c r="A38" s="115" t="s">
        <v>420</v>
      </c>
      <c r="B38" s="116"/>
      <c r="C38" s="134"/>
      <c r="D38" s="116">
        <f>'Financials FY'!H71</f>
        <v>20112053</v>
      </c>
      <c r="E38" s="116">
        <f>'Financials FY'!I71</f>
        <v>11790662</v>
      </c>
      <c r="F38" s="116">
        <f>'Financials FY'!J71</f>
        <v>12311543</v>
      </c>
      <c r="G38" s="116">
        <f>'Financials FY'!K71</f>
        <v>14038405</v>
      </c>
      <c r="H38" s="116">
        <f>'Financials FY'!L71</f>
        <v>102795573</v>
      </c>
      <c r="I38" s="116">
        <f>'Financials FY'!M71</f>
        <v>1162729925</v>
      </c>
      <c r="J38" s="116">
        <f>'Financials FY'!N71</f>
        <v>2674849654</v>
      </c>
      <c r="K38" s="116">
        <f>'Financials FY'!O71</f>
        <v>11550071000</v>
      </c>
      <c r="L38" s="116">
        <f>'Financials FY'!P71</f>
        <v>29924703</v>
      </c>
      <c r="M38" s="116">
        <f>'Financials HY'!I54</f>
        <v>27818259</v>
      </c>
      <c r="N38" s="116"/>
      <c r="O38" s="108"/>
      <c r="P38" s="117" t="s">
        <v>233</v>
      </c>
      <c r="Q38" s="127">
        <f>(M7/M16-I7/I16)/(I7/I16)</f>
        <v>0</v>
      </c>
      <c r="R38" s="111"/>
      <c r="S38" s="120" t="s">
        <v>86</v>
      </c>
      <c r="T38" s="120">
        <f t="shared" ref="T38:V39" si="21">F30</f>
        <v>390267</v>
      </c>
      <c r="U38" s="120">
        <f t="shared" si="21"/>
        <v>489995</v>
      </c>
      <c r="V38" s="120">
        <f t="shared" si="21"/>
        <v>7191467</v>
      </c>
      <c r="W38" s="120">
        <f t="shared" ref="W38:AA38" si="22">I30</f>
        <v>9713506</v>
      </c>
      <c r="X38" s="120">
        <f t="shared" si="22"/>
        <v>167426274</v>
      </c>
      <c r="Y38" s="120">
        <f t="shared" si="22"/>
        <v>1138874000</v>
      </c>
      <c r="Z38" s="120">
        <f t="shared" si="22"/>
        <v>456160</v>
      </c>
      <c r="AA38" s="120">
        <f t="shared" si="22"/>
        <v>1880547</v>
      </c>
    </row>
    <row r="39" spans="1:27" ht="15">
      <c r="A39" s="115" t="s">
        <v>264</v>
      </c>
      <c r="B39" s="116"/>
      <c r="C39" s="116">
        <f>'Financials FY'!G138</f>
        <v>0</v>
      </c>
      <c r="D39" s="116">
        <f>'Financials FY'!H138</f>
        <v>19966248</v>
      </c>
      <c r="E39" s="116">
        <f>'Financials FY'!I138</f>
        <v>11498024</v>
      </c>
      <c r="F39" s="116">
        <f>'Financials FY'!J138</f>
        <v>12237110</v>
      </c>
      <c r="G39" s="116">
        <f>'Financials FY'!K138</f>
        <v>14143433</v>
      </c>
      <c r="H39" s="116">
        <f>'Financials FY'!L138</f>
        <v>87694710</v>
      </c>
      <c r="I39" s="116">
        <f>'Financials FY'!M138</f>
        <v>1129705127</v>
      </c>
      <c r="J39" s="116">
        <f>'Financials FY'!N138</f>
        <v>2500230098</v>
      </c>
      <c r="K39" s="116">
        <f>'Financials FY'!O138</f>
        <v>6640641000</v>
      </c>
      <c r="L39" s="116">
        <f>'Financials FY'!P138</f>
        <v>28842849</v>
      </c>
      <c r="M39" s="116">
        <f>'Financials FY'!Q138</f>
        <v>23375982</v>
      </c>
      <c r="N39" s="412"/>
      <c r="P39" s="117" t="s">
        <v>234</v>
      </c>
      <c r="Q39" s="126">
        <f>((I7/(I32+I24))-(G7/(G32+G24)))/(G7/(G32+G24))</f>
        <v>4.7472462612427853</v>
      </c>
      <c r="R39" s="111"/>
      <c r="S39" s="120" t="s">
        <v>87</v>
      </c>
      <c r="T39" s="120">
        <f t="shared" si="21"/>
        <v>315567</v>
      </c>
      <c r="U39" s="120">
        <f t="shared" si="21"/>
        <v>1409130</v>
      </c>
      <c r="V39" s="120">
        <f t="shared" si="21"/>
        <v>3818246</v>
      </c>
      <c r="W39" s="120">
        <f t="shared" ref="W39:AA39" si="23">I31</f>
        <v>11434433</v>
      </c>
      <c r="X39" s="120">
        <f t="shared" si="23"/>
        <v>40379961</v>
      </c>
      <c r="Y39" s="120">
        <f t="shared" si="23"/>
        <v>0</v>
      </c>
      <c r="Z39" s="120">
        <f t="shared" si="23"/>
        <v>0</v>
      </c>
      <c r="AA39" s="120">
        <f t="shared" si="23"/>
        <v>0</v>
      </c>
    </row>
    <row r="40" spans="1:27" ht="15">
      <c r="A40" s="115" t="s">
        <v>92</v>
      </c>
      <c r="E40" s="419">
        <f t="shared" ref="E40:I40" si="24">E14/E18</f>
        <v>-3.7867788459401649E-3</v>
      </c>
      <c r="F40" s="419">
        <f t="shared" si="24"/>
        <v>-1.2720733485521484E-2</v>
      </c>
      <c r="G40" s="419">
        <f t="shared" si="24"/>
        <v>-1.5078250143498471E-2</v>
      </c>
      <c r="H40" s="419">
        <f t="shared" si="24"/>
        <v>3.9314224555049383E-2</v>
      </c>
      <c r="I40" s="419">
        <f t="shared" si="24"/>
        <v>0.63657708755943065</v>
      </c>
      <c r="J40" s="419">
        <f t="shared" ref="J40:K40" si="25">J14/J18</f>
        <v>2.1776547545368299</v>
      </c>
      <c r="K40" s="419">
        <f t="shared" si="25"/>
        <v>14.013685293890402</v>
      </c>
      <c r="L40" s="419">
        <f t="shared" ref="L40" si="26">L14/L18</f>
        <v>5.1316055333676301E-2</v>
      </c>
      <c r="M40" s="419">
        <f>M14/M18</f>
        <v>3.1540465349429801E-2</v>
      </c>
      <c r="N40" s="111"/>
      <c r="O40" s="111"/>
      <c r="P40" s="117" t="s">
        <v>236</v>
      </c>
      <c r="Q40" s="126">
        <f>((M10*(1-M37)/M36)-(I10*(1-I37)/I36))/(I10*(1-I37)/I36)</f>
        <v>-0.83472462678966586</v>
      </c>
      <c r="R40" s="111"/>
      <c r="S40" s="120" t="s">
        <v>235</v>
      </c>
      <c r="T40" s="120">
        <f>F26</f>
        <v>1566298</v>
      </c>
      <c r="U40" s="120">
        <f>G26</f>
        <v>3188102</v>
      </c>
      <c r="V40" s="120">
        <f>H26</f>
        <v>18181525</v>
      </c>
      <c r="W40" s="120">
        <f t="shared" ref="W40:AA40" si="27">I26</f>
        <v>258841370</v>
      </c>
      <c r="X40" s="120">
        <f t="shared" si="27"/>
        <v>544495477</v>
      </c>
      <c r="Y40" s="120">
        <f t="shared" si="27"/>
        <v>3029134000</v>
      </c>
      <c r="Z40" s="120">
        <f t="shared" si="27"/>
        <v>7556664</v>
      </c>
      <c r="AA40" s="120">
        <f t="shared" si="27"/>
        <v>7861646</v>
      </c>
    </row>
    <row r="41" spans="1:27" ht="15">
      <c r="A41" s="111"/>
      <c r="B41" s="111"/>
      <c r="C41" s="111"/>
      <c r="D41" s="111"/>
      <c r="E41" s="111"/>
      <c r="F41" s="111"/>
      <c r="G41" s="414"/>
      <c r="H41" s="420"/>
      <c r="I41" s="420"/>
      <c r="J41" s="420"/>
      <c r="K41" s="420"/>
      <c r="L41" s="420"/>
      <c r="M41" s="420"/>
      <c r="N41" s="111"/>
      <c r="O41" s="111"/>
      <c r="P41" s="416" t="s">
        <v>457</v>
      </c>
      <c r="Q41" s="126">
        <f>M33/T16</f>
        <v>3.1430264042319682E-2</v>
      </c>
      <c r="R41" s="111"/>
      <c r="S41" s="120" t="s">
        <v>237</v>
      </c>
      <c r="T41" s="120">
        <f>F25</f>
        <v>10564576</v>
      </c>
      <c r="U41" s="120">
        <f>G25</f>
        <v>15929669</v>
      </c>
      <c r="V41" s="120">
        <f>H25</f>
        <v>140240986</v>
      </c>
      <c r="W41" s="120">
        <f t="shared" ref="W41:AA41" si="28">I25</f>
        <v>638338362</v>
      </c>
      <c r="X41" s="120">
        <f t="shared" si="28"/>
        <v>4235153252</v>
      </c>
      <c r="Y41" s="120">
        <f t="shared" si="28"/>
        <v>24618756000</v>
      </c>
      <c r="Z41" s="120">
        <f t="shared" si="28"/>
        <v>25805431</v>
      </c>
      <c r="AA41" s="120">
        <f t="shared" si="28"/>
        <v>53695885</v>
      </c>
    </row>
    <row r="42" spans="1:27" ht="15">
      <c r="A42" s="111" t="s">
        <v>456</v>
      </c>
      <c r="B42" s="111"/>
      <c r="C42" s="111"/>
      <c r="D42" s="111"/>
      <c r="E42" s="111"/>
      <c r="F42" s="111"/>
      <c r="G42" s="415"/>
      <c r="H42" s="415"/>
      <c r="I42" s="415"/>
      <c r="J42" s="415"/>
      <c r="K42" s="415"/>
      <c r="L42" s="415"/>
      <c r="M42" s="415"/>
      <c r="N42" s="111"/>
      <c r="O42" s="111"/>
      <c r="P42" s="111"/>
      <c r="Q42" s="111"/>
      <c r="R42" s="111"/>
      <c r="S42" s="120" t="s">
        <v>88</v>
      </c>
      <c r="T42" s="120">
        <f>F17</f>
        <v>12311543</v>
      </c>
      <c r="U42" s="120">
        <f>G17</f>
        <v>14038405</v>
      </c>
      <c r="V42" s="120">
        <f>H17</f>
        <v>102795573</v>
      </c>
      <c r="W42" s="120">
        <f t="shared" ref="W42:AA42" si="29">I17</f>
        <v>1162729925</v>
      </c>
      <c r="X42" s="120">
        <f t="shared" si="29"/>
        <v>2674849654</v>
      </c>
      <c r="Y42" s="120">
        <f t="shared" si="29"/>
        <v>11550071000</v>
      </c>
      <c r="Z42" s="120">
        <f t="shared" si="29"/>
        <v>29924703</v>
      </c>
      <c r="AA42" s="120">
        <f t="shared" si="29"/>
        <v>24227135</v>
      </c>
    </row>
    <row r="43" spans="1:27" ht="15">
      <c r="A43" s="111"/>
      <c r="B43" s="111"/>
      <c r="C43" s="111"/>
      <c r="D43" s="111"/>
      <c r="E43" s="111"/>
      <c r="F43" s="111"/>
      <c r="G43" s="111"/>
      <c r="H43" s="111"/>
      <c r="I43" s="111"/>
      <c r="J43" s="111"/>
      <c r="K43" s="111"/>
      <c r="L43" s="111"/>
      <c r="M43" s="111"/>
      <c r="N43" s="111"/>
      <c r="O43" s="111"/>
      <c r="P43" s="111"/>
      <c r="Q43" s="111"/>
      <c r="R43" s="111"/>
      <c r="S43" s="136"/>
      <c r="T43" s="136"/>
      <c r="U43" s="136"/>
      <c r="V43" s="136"/>
      <c r="W43" s="136"/>
      <c r="X43" s="136"/>
      <c r="Y43" s="136"/>
      <c r="Z43" s="136"/>
      <c r="AA43" s="136"/>
    </row>
    <row r="44" spans="1:27" ht="15">
      <c r="A44" s="111" t="s">
        <v>472</v>
      </c>
      <c r="B44" s="111"/>
      <c r="C44" s="111"/>
      <c r="D44" s="111"/>
      <c r="E44" s="111"/>
      <c r="F44" s="111"/>
      <c r="G44" s="135"/>
      <c r="H44" s="135"/>
      <c r="I44" s="135"/>
      <c r="J44" s="135"/>
      <c r="K44" s="135">
        <v>1970</v>
      </c>
      <c r="L44" s="135">
        <v>5000000</v>
      </c>
      <c r="M44" s="135"/>
      <c r="N44" s="111"/>
      <c r="O44" s="111"/>
      <c r="P44" s="111"/>
      <c r="Q44" s="111"/>
      <c r="R44" s="111"/>
      <c r="S44" s="133"/>
      <c r="T44" s="133"/>
      <c r="U44" s="133"/>
      <c r="V44" s="133"/>
      <c r="W44" s="133"/>
      <c r="X44" s="133"/>
      <c r="Y44" s="133"/>
      <c r="Z44" s="133"/>
      <c r="AA44" s="133"/>
    </row>
    <row r="45" spans="1:27" ht="15">
      <c r="B45" s="111"/>
      <c r="C45" s="111"/>
      <c r="D45" s="111"/>
      <c r="E45" s="111"/>
      <c r="F45" s="111"/>
      <c r="G45" s="135"/>
      <c r="H45" s="135"/>
      <c r="I45" s="135"/>
      <c r="J45" s="135"/>
      <c r="K45" s="111">
        <v>1980</v>
      </c>
      <c r="L45" s="135">
        <v>7000000</v>
      </c>
      <c r="M45" s="135">
        <f>L45-L44</f>
        <v>2000000</v>
      </c>
      <c r="N45" s="456">
        <f>M45/10</f>
        <v>200000</v>
      </c>
      <c r="O45" s="111"/>
      <c r="P45" s="111"/>
      <c r="Q45" s="111"/>
      <c r="R45" s="111"/>
      <c r="S45" s="114" t="s">
        <v>238</v>
      </c>
      <c r="T45" s="114"/>
      <c r="U45" s="114"/>
      <c r="V45" s="114"/>
      <c r="W45" s="114"/>
      <c r="X45" s="114"/>
      <c r="Y45" s="114"/>
      <c r="Z45" s="114"/>
      <c r="AA45" s="114"/>
    </row>
    <row r="46" spans="1:27" ht="15">
      <c r="B46" s="111"/>
      <c r="C46" s="111"/>
      <c r="D46" s="111"/>
      <c r="E46" s="111"/>
      <c r="F46" s="111"/>
      <c r="G46" s="135"/>
      <c r="H46" s="135"/>
      <c r="I46" s="135"/>
      <c r="J46" s="135"/>
      <c r="K46" s="111">
        <v>1990</v>
      </c>
      <c r="L46" s="135">
        <v>10000000</v>
      </c>
      <c r="M46" s="135">
        <f>L46-L45</f>
        <v>3000000</v>
      </c>
      <c r="N46" s="456">
        <f>M46/10</f>
        <v>300000</v>
      </c>
      <c r="O46" s="111"/>
      <c r="P46" s="111"/>
      <c r="Q46" s="111"/>
      <c r="R46" s="111"/>
      <c r="S46" s="137" t="s">
        <v>238</v>
      </c>
      <c r="T46" s="131" t="str">
        <f t="shared" ref="T46" si="30">T34</f>
        <v>FY2016</v>
      </c>
      <c r="U46" s="131" t="str">
        <f t="shared" ref="U46:V46" si="31">U34</f>
        <v>FY2017</v>
      </c>
      <c r="V46" s="131" t="str">
        <f t="shared" si="31"/>
        <v>FY2018</v>
      </c>
      <c r="W46" s="131" t="str">
        <f t="shared" ref="W46:AA46" si="32">W34</f>
        <v>FY2019</v>
      </c>
      <c r="X46" s="131" t="str">
        <f t="shared" si="32"/>
        <v>FY2020</v>
      </c>
      <c r="Y46" s="131" t="str">
        <f t="shared" si="32"/>
        <v>FY2021</v>
      </c>
      <c r="Z46" s="131" t="str">
        <f t="shared" si="32"/>
        <v>FY2022</v>
      </c>
      <c r="AA46" s="131" t="str">
        <f t="shared" si="32"/>
        <v>FY2023</v>
      </c>
    </row>
    <row r="47" spans="1:27" ht="15">
      <c r="B47" s="111"/>
      <c r="C47" s="111"/>
      <c r="D47" s="111"/>
      <c r="E47" s="111"/>
      <c r="F47" s="111"/>
      <c r="G47" s="135"/>
      <c r="H47" s="135"/>
      <c r="I47" s="135"/>
      <c r="J47" s="135"/>
      <c r="K47" s="111">
        <v>2000</v>
      </c>
      <c r="L47" s="135">
        <v>12000000</v>
      </c>
      <c r="M47" s="135">
        <f>L47-L46</f>
        <v>2000000</v>
      </c>
      <c r="N47" s="456">
        <f>M47/10</f>
        <v>200000</v>
      </c>
      <c r="O47" s="111"/>
      <c r="P47" s="111"/>
      <c r="Q47" s="111"/>
      <c r="R47" s="111"/>
      <c r="S47" s="138"/>
      <c r="T47" s="138"/>
      <c r="U47" s="138"/>
      <c r="V47" s="138"/>
      <c r="W47" s="138"/>
      <c r="X47" s="138"/>
      <c r="Y47" s="138"/>
      <c r="Z47" s="138"/>
      <c r="AA47" s="138"/>
    </row>
    <row r="48" spans="1:27" ht="15">
      <c r="B48" s="111"/>
      <c r="C48" s="111"/>
      <c r="D48" s="111"/>
      <c r="E48" s="111"/>
      <c r="F48" s="111"/>
      <c r="G48" s="135"/>
      <c r="H48" s="135"/>
      <c r="I48" s="135"/>
      <c r="J48" s="135"/>
      <c r="K48" s="111">
        <v>2010</v>
      </c>
      <c r="L48" s="135">
        <v>13000000</v>
      </c>
      <c r="M48" s="135">
        <f>L48-L47</f>
        <v>1000000</v>
      </c>
      <c r="N48" s="456">
        <f>M48/10</f>
        <v>100000</v>
      </c>
      <c r="O48" s="111"/>
      <c r="P48" s="111"/>
      <c r="Q48" s="111"/>
      <c r="R48" s="111"/>
      <c r="S48" s="120" t="s">
        <v>470</v>
      </c>
      <c r="T48" s="122">
        <f>F10/F16</f>
        <v>-0.14029171911812788</v>
      </c>
      <c r="U48" s="122">
        <f t="shared" ref="U48:Z48" si="33">G10/G16</f>
        <v>-0.10732046064586767</v>
      </c>
      <c r="V48" s="122">
        <f t="shared" si="33"/>
        <v>4.665648814789837E-2</v>
      </c>
      <c r="W48" s="122">
        <f t="shared" si="33"/>
        <v>0.26872796384790426</v>
      </c>
      <c r="X48" s="122">
        <f t="shared" si="33"/>
        <v>0.18679973944833778</v>
      </c>
      <c r="Y48" s="122">
        <f t="shared" si="33"/>
        <v>0.18443815398069668</v>
      </c>
      <c r="Z48" s="122">
        <f t="shared" si="33"/>
        <v>0.24824254742433188</v>
      </c>
      <c r="AA48" s="122">
        <f>M10/M16</f>
        <v>0.15300931075070487</v>
      </c>
    </row>
    <row r="49" spans="1:27" ht="15">
      <c r="B49" s="111"/>
      <c r="C49" s="111"/>
      <c r="D49" s="111"/>
      <c r="E49" s="111"/>
      <c r="F49" s="111"/>
      <c r="G49" s="135"/>
      <c r="H49" s="135"/>
      <c r="I49" s="135"/>
      <c r="J49" s="135"/>
      <c r="K49" s="111">
        <v>2020</v>
      </c>
      <c r="L49" s="135">
        <v>16000000</v>
      </c>
      <c r="M49" s="135">
        <f>L49-L48</f>
        <v>3000000</v>
      </c>
      <c r="N49" s="456">
        <f>M49/10</f>
        <v>300000</v>
      </c>
      <c r="O49" s="111"/>
      <c r="P49" s="111"/>
      <c r="Q49" s="111"/>
      <c r="R49" s="111"/>
      <c r="S49" s="120" t="s">
        <v>239</v>
      </c>
      <c r="T49" s="238">
        <f t="shared" ref="T49:Z49" si="34">E15/E16</f>
        <v>-8.3167182111467355E-2</v>
      </c>
      <c r="U49" s="238">
        <f t="shared" si="34"/>
        <v>-0.14654409700187848</v>
      </c>
      <c r="V49" s="238">
        <f t="shared" si="34"/>
        <v>-0.12744268045734691</v>
      </c>
      <c r="W49" s="238">
        <f t="shared" si="34"/>
        <v>3.6883524933595743E-2</v>
      </c>
      <c r="X49" s="238">
        <f t="shared" si="34"/>
        <v>0.10264601285029736</v>
      </c>
      <c r="Y49" s="238">
        <f t="shared" si="34"/>
        <v>6.2716572480818425E-2</v>
      </c>
      <c r="Z49" s="238">
        <f t="shared" si="34"/>
        <v>0.13393428957469999</v>
      </c>
      <c r="AA49" s="238">
        <f>M15/M16</f>
        <v>0.14025469589342276</v>
      </c>
    </row>
    <row r="50" spans="1:27" ht="15">
      <c r="A50" s="111"/>
      <c r="B50" s="111"/>
      <c r="C50" s="111"/>
      <c r="D50" s="111"/>
      <c r="E50" s="111"/>
      <c r="F50" s="111"/>
      <c r="G50" s="135"/>
      <c r="H50" s="135"/>
      <c r="I50" s="135"/>
      <c r="J50" s="135"/>
      <c r="K50" s="135"/>
      <c r="L50" s="135"/>
      <c r="M50" s="135"/>
      <c r="N50" s="111">
        <f t="shared" ref="N50" si="35">M50/10</f>
        <v>0</v>
      </c>
      <c r="O50" s="111"/>
      <c r="P50" s="111"/>
      <c r="Q50" s="111"/>
      <c r="R50" s="111"/>
      <c r="S50" s="120" t="s">
        <v>11</v>
      </c>
      <c r="T50" s="238">
        <f>F10*(1-F37)/F39</f>
        <v>-0.23528619601643075</v>
      </c>
      <c r="U50" s="238">
        <f t="shared" ref="U50:Z50" si="36">G10*(1-G37)/G39</f>
        <v>-0.24105918157506773</v>
      </c>
      <c r="V50" s="238">
        <f t="shared" si="36"/>
        <v>0.11516595417842586</v>
      </c>
      <c r="W50" s="238">
        <f t="shared" si="36"/>
        <v>0.16287876880413824</v>
      </c>
      <c r="X50" s="238">
        <f t="shared" si="36"/>
        <v>0.56832111976061084</v>
      </c>
      <c r="Y50" s="238">
        <f t="shared" si="36"/>
        <v>0.5114623172905578</v>
      </c>
      <c r="Z50" s="238">
        <f t="shared" si="36"/>
        <v>0.40013096143366328</v>
      </c>
      <c r="AA50" s="238">
        <f>M10*(1-M37)/M39</f>
        <v>0.33782344568340855</v>
      </c>
    </row>
    <row r="51" spans="1:27" ht="15">
      <c r="A51" s="111"/>
      <c r="B51" s="111"/>
      <c r="C51" s="111"/>
      <c r="D51" s="111"/>
      <c r="E51" s="111"/>
      <c r="F51" s="111"/>
      <c r="G51" s="135"/>
      <c r="H51" s="135"/>
      <c r="I51" s="135"/>
      <c r="J51" s="135"/>
      <c r="K51" s="135"/>
      <c r="L51" s="135"/>
      <c r="M51" s="132">
        <f>(L49/L45)^(1/40)-1</f>
        <v>2.0882004893936879E-2</v>
      </c>
      <c r="N51" s="111"/>
      <c r="O51" s="111"/>
      <c r="P51" s="111"/>
      <c r="Q51" s="111"/>
      <c r="R51" s="111"/>
      <c r="S51" s="120" t="s">
        <v>240</v>
      </c>
      <c r="T51" s="139">
        <f>(F30+F31)/(F24+F32)</f>
        <v>2.8877422392392701E-2</v>
      </c>
      <c r="U51" s="139">
        <f t="shared" ref="U51:Z51" si="37">(G30+G31)/(G24+G32)</f>
        <v>5.7278167421960846E-2</v>
      </c>
      <c r="V51" s="139">
        <f t="shared" si="37"/>
        <v>4.2147591129257346E-2</v>
      </c>
      <c r="W51" s="139">
        <f t="shared" si="37"/>
        <v>1.0266440049025898E-2</v>
      </c>
      <c r="X51" s="139">
        <f t="shared" si="37"/>
        <v>2.7876622184787453E-2</v>
      </c>
      <c r="Y51" s="139">
        <f t="shared" si="37"/>
        <v>2.9054419437786572E-2</v>
      </c>
      <c r="Z51" s="139">
        <f t="shared" si="37"/>
        <v>7.2078223960706624E-3</v>
      </c>
      <c r="AA51" s="139">
        <f>(M30+M31)/(M24+M32)</f>
        <v>2.1921715006735586E-2</v>
      </c>
    </row>
    <row r="52" spans="1:27" ht="15">
      <c r="A52" s="111"/>
      <c r="B52" s="111"/>
      <c r="C52" s="111"/>
      <c r="D52" s="111"/>
      <c r="E52" s="111"/>
      <c r="F52" s="111"/>
      <c r="G52" s="135"/>
      <c r="H52" s="135"/>
      <c r="I52" s="135"/>
      <c r="J52" s="135"/>
      <c r="K52" s="135"/>
      <c r="L52" s="135"/>
      <c r="M52" s="132">
        <f>(L49-L45)/L45</f>
        <v>1.2857142857142858</v>
      </c>
      <c r="N52" s="111"/>
      <c r="O52" s="111"/>
      <c r="P52" s="111"/>
      <c r="Q52" s="111"/>
      <c r="R52" s="111"/>
      <c r="S52" s="120" t="s">
        <v>241</v>
      </c>
      <c r="T52" s="139">
        <f>F10/F5</f>
        <v>-67.771434340375052</v>
      </c>
      <c r="U52" s="139">
        <f t="shared" ref="U52:Z52" si="38">G10/G5</f>
        <v>-25.084079762958925</v>
      </c>
      <c r="V52" s="139">
        <f t="shared" si="38"/>
        <v>10.835617295947733</v>
      </c>
      <c r="W52" s="139">
        <f t="shared" si="38"/>
        <v>94.419188282892407</v>
      </c>
      <c r="X52" s="139">
        <f t="shared" si="38"/>
        <v>120.68628949428938</v>
      </c>
      <c r="Y52" s="139">
        <f t="shared" si="38"/>
        <v>13.764977611433665</v>
      </c>
      <c r="Z52" s="139">
        <f t="shared" si="38"/>
        <v>50.351157905022475</v>
      </c>
      <c r="AA52" s="139">
        <f>M10/M5</f>
        <v>22.653865299622943</v>
      </c>
    </row>
    <row r="53" spans="1:27" ht="15">
      <c r="A53" s="111"/>
      <c r="B53" s="111"/>
      <c r="C53" s="111"/>
      <c r="D53" s="111"/>
      <c r="E53" s="111"/>
      <c r="F53" s="111"/>
      <c r="G53" s="135"/>
      <c r="H53" s="135"/>
      <c r="I53" s="135"/>
      <c r="J53" s="135"/>
      <c r="K53" s="135"/>
      <c r="L53" s="135"/>
      <c r="M53" s="135"/>
      <c r="N53" s="111"/>
      <c r="O53" s="111"/>
      <c r="P53" s="111"/>
      <c r="Q53" s="111"/>
      <c r="R53" s="111"/>
      <c r="S53" s="120" t="s">
        <v>231</v>
      </c>
      <c r="T53" s="139">
        <f>F24/F25</f>
        <v>1.1287135423134824</v>
      </c>
      <c r="U53" s="139">
        <f t="shared" ref="U53:Z53" si="39">G24/G25</f>
        <v>1.1090028298767538</v>
      </c>
      <c r="V53" s="139">
        <f t="shared" si="39"/>
        <v>1.1494063939339387</v>
      </c>
      <c r="W53" s="139">
        <f t="shared" si="39"/>
        <v>1.4965260931631115</v>
      </c>
      <c r="X53" s="139">
        <f t="shared" si="39"/>
        <v>1.1726642653733184</v>
      </c>
      <c r="Y53" s="139">
        <f t="shared" si="39"/>
        <v>1.070462902349737</v>
      </c>
      <c r="Z53" s="139">
        <f t="shared" si="39"/>
        <v>1.2914131912774485</v>
      </c>
      <c r="AA53" s="139">
        <f>M24/M25</f>
        <v>1.0107855750957453</v>
      </c>
    </row>
    <row r="54" spans="1:27" ht="15">
      <c r="A54" s="111"/>
      <c r="B54" s="111"/>
      <c r="C54" s="111"/>
      <c r="D54" s="111"/>
      <c r="E54" s="111"/>
      <c r="F54" s="111"/>
      <c r="G54" s="135"/>
      <c r="H54" s="135"/>
      <c r="I54" s="135"/>
      <c r="J54" s="135"/>
      <c r="K54" s="135"/>
      <c r="L54" s="135"/>
      <c r="M54" s="135">
        <f>365*10</f>
        <v>3650</v>
      </c>
      <c r="N54" s="111"/>
      <c r="O54" s="111"/>
      <c r="P54" s="111"/>
      <c r="Q54" s="111"/>
      <c r="R54" s="111"/>
      <c r="S54" s="120" t="s">
        <v>242</v>
      </c>
      <c r="T54" s="139">
        <f>2*F16/(F24+F32+E24+E32)</f>
        <v>0.84156717715658558</v>
      </c>
      <c r="U54" s="139">
        <f t="shared" ref="U54:Z54" si="40">2*G16/(G24+G32+F24+F32)</f>
        <v>0.95318981142473391</v>
      </c>
      <c r="V54" s="139">
        <f t="shared" si="40"/>
        <v>1.688663879783511</v>
      </c>
      <c r="W54" s="139">
        <f t="shared" si="40"/>
        <v>1.2913183833254613</v>
      </c>
      <c r="X54" s="139">
        <f t="shared" si="40"/>
        <v>1.7637961753845486</v>
      </c>
      <c r="Y54" s="139">
        <f t="shared" si="40"/>
        <v>1.083950614154056</v>
      </c>
      <c r="Z54" s="139">
        <f t="shared" si="40"/>
        <v>2.5377906609752626E-3</v>
      </c>
      <c r="AA54" s="139">
        <f>2*M16/(M24+M32+L24+L32)</f>
        <v>0.722257681725055</v>
      </c>
    </row>
    <row r="55" spans="1:27" ht="15">
      <c r="A55" s="111"/>
      <c r="B55" s="111"/>
      <c r="C55" s="111"/>
      <c r="D55" s="111"/>
      <c r="E55" s="111"/>
      <c r="F55" s="111"/>
      <c r="G55" s="135"/>
      <c r="H55" s="135"/>
      <c r="I55" s="135"/>
      <c r="J55" s="135"/>
      <c r="K55" s="135"/>
      <c r="L55" s="135"/>
      <c r="M55" s="135">
        <f>M49/M54</f>
        <v>821.91780821917803</v>
      </c>
      <c r="N55" s="111"/>
      <c r="O55" s="111"/>
      <c r="P55" s="111"/>
      <c r="Q55" s="111"/>
      <c r="R55" s="111"/>
      <c r="S55" s="120" t="s">
        <v>243</v>
      </c>
      <c r="T55" s="106">
        <f>F12*F18/F17</f>
        <v>30.446171077012846</v>
      </c>
      <c r="U55" s="106">
        <f t="shared" ref="U55:Z55" si="41">G12*G18/G17</f>
        <v>118.99807968212913</v>
      </c>
      <c r="V55" s="106">
        <f t="shared" si="41"/>
        <v>17.149171381534103</v>
      </c>
      <c r="W55" s="106">
        <f t="shared" si="41"/>
        <v>9.9759864149019819</v>
      </c>
      <c r="X55" s="106">
        <f t="shared" si="41"/>
        <v>361.49632136134261</v>
      </c>
      <c r="Y55" s="106">
        <f t="shared" si="41"/>
        <v>146.4558918295827</v>
      </c>
      <c r="Z55" s="106">
        <f t="shared" si="41"/>
        <v>88.829311923329698</v>
      </c>
      <c r="AA55" s="106">
        <f>M12*M18/M17</f>
        <v>108.69176235654773</v>
      </c>
    </row>
    <row r="56" spans="1:27" ht="15">
      <c r="A56" s="111"/>
      <c r="B56" s="111"/>
      <c r="C56" s="111"/>
      <c r="D56" s="111"/>
      <c r="E56" s="111"/>
      <c r="F56" s="111"/>
      <c r="G56" s="135"/>
      <c r="H56" s="135"/>
      <c r="I56" s="135"/>
      <c r="J56" s="135"/>
      <c r="K56" s="135"/>
      <c r="L56" s="135"/>
      <c r="M56" s="135"/>
      <c r="N56" s="111"/>
      <c r="O56" s="111"/>
      <c r="P56" s="111"/>
      <c r="Q56" s="111"/>
      <c r="R56" s="111"/>
      <c r="S56" s="120" t="s">
        <v>12</v>
      </c>
      <c r="T56" s="139">
        <f>F36/F10</f>
        <v>-1.3682402631935682</v>
      </c>
      <c r="U56" s="139">
        <f t="shared" ref="U56:Z56" si="42">G36/G10</f>
        <v>-5.6096054472476098</v>
      </c>
      <c r="V56" s="139">
        <f t="shared" si="42"/>
        <v>-5.6759866755786141E-2</v>
      </c>
      <c r="W56" s="139">
        <f t="shared" si="42"/>
        <v>0.20398604301716231</v>
      </c>
      <c r="X56" s="139">
        <f t="shared" si="42"/>
        <v>6.0577203974499687</v>
      </c>
      <c r="Y56" s="139">
        <f t="shared" si="42"/>
        <v>2.5745744038231146</v>
      </c>
      <c r="Z56" s="139">
        <f t="shared" si="42"/>
        <v>2.0619350427143095</v>
      </c>
      <c r="AA56" s="139">
        <f>M36/M10</f>
        <v>2.58978119542985</v>
      </c>
    </row>
    <row r="57" spans="1:27" ht="15">
      <c r="A57" s="111"/>
      <c r="B57" s="111"/>
      <c r="C57" s="111"/>
      <c r="D57" s="111"/>
      <c r="E57" s="111"/>
      <c r="F57" s="111"/>
      <c r="G57" s="135"/>
      <c r="H57" s="135"/>
      <c r="I57" s="135"/>
      <c r="J57" s="135"/>
      <c r="K57" s="135"/>
      <c r="L57" s="135"/>
      <c r="M57" s="135"/>
      <c r="N57" s="111"/>
      <c r="O57" s="111"/>
      <c r="S57" s="120" t="s">
        <v>244</v>
      </c>
      <c r="T57" s="139">
        <f>F18*F12/F22</f>
        <v>633.69801136411661</v>
      </c>
      <c r="U57" s="139">
        <f t="shared" ref="U57:Z57" si="43">G18*G12/G22</f>
        <v>737.28562195637573</v>
      </c>
      <c r="V57" s="139">
        <f t="shared" si="43"/>
        <v>87.822476324767095</v>
      </c>
      <c r="W57" s="139">
        <f t="shared" si="43"/>
        <v>19.670087764396989</v>
      </c>
      <c r="X57" s="139">
        <f t="shared" si="43"/>
        <v>1570.0416348680276</v>
      </c>
      <c r="Y57" s="139">
        <f t="shared" si="43"/>
        <v>193.9477433189636</v>
      </c>
      <c r="Z57" s="139">
        <f t="shared" si="43"/>
        <v>3443.3816516423544</v>
      </c>
      <c r="AA57" s="139">
        <f>M18*M12/M22</f>
        <v>528.91700452633199</v>
      </c>
    </row>
  </sheetData>
  <phoneticPr fontId="46"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FC144"/>
  <sheetViews>
    <sheetView zoomScale="130" zoomScaleNormal="130" workbookViewId="0">
      <pane xSplit="1" topLeftCell="N1" activePane="topRight" state="frozen"/>
      <selection activeCell="A15" sqref="A15"/>
      <selection pane="topRight" activeCell="R130" sqref="R130"/>
    </sheetView>
  </sheetViews>
  <sheetFormatPr defaultColWidth="8.88671875" defaultRowHeight="12"/>
  <cols>
    <col min="1" max="1" width="40.33203125" style="1" customWidth="1"/>
    <col min="2" max="2" width="13.44140625" style="1" customWidth="1"/>
    <col min="3" max="3" width="12.44140625" style="1" customWidth="1"/>
    <col min="4" max="4" width="15.109375" style="1" customWidth="1"/>
    <col min="5" max="5" width="13.44140625" style="1" customWidth="1"/>
    <col min="6" max="6" width="13.88671875" style="1" customWidth="1"/>
    <col min="7" max="7" width="12.88671875" style="1" customWidth="1"/>
    <col min="8" max="8" width="11.109375" style="1" customWidth="1"/>
    <col min="9" max="9" width="12" style="1" bestFit="1" customWidth="1"/>
    <col min="10" max="10" width="10.109375" style="31" bestFit="1" customWidth="1"/>
    <col min="11" max="11" width="12.5546875" style="1" bestFit="1" customWidth="1"/>
    <col min="12" max="12" width="13" style="1" customWidth="1"/>
    <col min="13" max="13" width="11.6640625" style="1" bestFit="1" customWidth="1"/>
    <col min="14" max="14" width="13.33203125" style="1" bestFit="1" customWidth="1"/>
    <col min="15" max="15" width="12.6640625" style="1" customWidth="1"/>
    <col min="16" max="16" width="12.44140625" style="1" customWidth="1"/>
    <col min="17" max="17" width="13.88671875" style="1" customWidth="1"/>
    <col min="18" max="18" width="10" style="370" customWidth="1"/>
    <col min="19" max="16384" width="8.88671875" style="370"/>
  </cols>
  <sheetData>
    <row r="1" spans="1:1018 1025:2047 2054:3069 3076:4091 4098:5120 5127:6142 6149:7164 7171:8186 8193:9215 9222:10237 10244:11259 11266:12288 12295:13310 13317:14332 14339:15354 15361:16383" s="367" customFormat="1">
      <c r="A1" s="461" t="s">
        <v>3</v>
      </c>
      <c r="B1" s="26" t="s">
        <v>136</v>
      </c>
      <c r="C1" s="26" t="s">
        <v>136</v>
      </c>
      <c r="D1" s="26" t="s">
        <v>136</v>
      </c>
      <c r="E1" s="26" t="s">
        <v>136</v>
      </c>
      <c r="F1" s="26" t="s">
        <v>136</v>
      </c>
      <c r="G1" s="26" t="s">
        <v>136</v>
      </c>
      <c r="H1" s="26" t="s">
        <v>136</v>
      </c>
      <c r="I1" s="26" t="s">
        <v>136</v>
      </c>
      <c r="J1" s="26" t="s">
        <v>136</v>
      </c>
      <c r="K1" s="26" t="s">
        <v>136</v>
      </c>
      <c r="L1" s="26" t="s">
        <v>136</v>
      </c>
      <c r="M1" s="26" t="s">
        <v>136</v>
      </c>
      <c r="N1" s="26" t="s">
        <v>136</v>
      </c>
      <c r="O1" s="26" t="s">
        <v>136</v>
      </c>
      <c r="P1" s="26" t="s">
        <v>136</v>
      </c>
      <c r="Q1" s="26" t="s">
        <v>136</v>
      </c>
    </row>
    <row r="2" spans="1:1018 1025:2047 2054:3069 3076:4091 4098:5120 5127:6142 6149:7164 7171:8186 8193:9215 9222:10237 10244:11259 11266:12288 12295:13310 13317:14332 14339:15354 15361:16383" s="367" customFormat="1">
      <c r="A2" s="461" t="s">
        <v>4</v>
      </c>
      <c r="B2" s="26">
        <v>2008</v>
      </c>
      <c r="C2" s="26">
        <v>2009</v>
      </c>
      <c r="D2" s="26">
        <v>2010</v>
      </c>
      <c r="E2" s="26">
        <v>2011</v>
      </c>
      <c r="F2" s="26">
        <v>2012</v>
      </c>
      <c r="G2" s="26">
        <v>2013</v>
      </c>
      <c r="H2" s="26">
        <v>2014</v>
      </c>
      <c r="I2" s="26">
        <v>2015</v>
      </c>
      <c r="J2" s="26">
        <v>2016</v>
      </c>
      <c r="K2" s="26">
        <v>2017</v>
      </c>
      <c r="L2" s="22">
        <v>2018</v>
      </c>
      <c r="M2" s="103">
        <v>2019</v>
      </c>
      <c r="N2" s="103">
        <v>2020</v>
      </c>
      <c r="O2" s="103">
        <v>2021</v>
      </c>
      <c r="P2" s="103">
        <v>2022</v>
      </c>
      <c r="Q2" s="103">
        <v>2023</v>
      </c>
    </row>
    <row r="3" spans="1:1018 1025:2047 2054:3069 3076:4091 4098:5120 5127:6142 6149:7164 7171:8186 8193:9215 9222:10237 10244:11259 11266:12288 12295:13310 13317:14332 14339:15354 15361:16383" s="364" customFormat="1" ht="13.8">
      <c r="A3" s="43" t="s">
        <v>2</v>
      </c>
      <c r="B3" s="43"/>
      <c r="C3" s="43"/>
      <c r="D3" s="43"/>
      <c r="E3" s="43"/>
      <c r="F3" s="43"/>
      <c r="G3" s="43"/>
      <c r="H3" s="41">
        <v>14848743</v>
      </c>
      <c r="I3" s="41">
        <v>10039549</v>
      </c>
      <c r="J3" s="41">
        <v>19139918</v>
      </c>
      <c r="K3" s="41">
        <v>27451196</v>
      </c>
      <c r="L3" s="41">
        <v>248549590</v>
      </c>
      <c r="M3" s="41">
        <v>1498657461</v>
      </c>
      <c r="N3" s="41">
        <v>8390738256</v>
      </c>
      <c r="O3" s="41">
        <v>25284481000</v>
      </c>
      <c r="P3" s="41">
        <f>49818414</f>
        <v>49818414</v>
      </c>
      <c r="Q3" s="41">
        <f>53834005</f>
        <v>53834005</v>
      </c>
    </row>
    <row r="4" spans="1:1018 1025:2047 2054:3069 3076:4091 4098:5120 5127:6142 6149:7164 7171:8186 8193:9215 9222:10237 10244:11259 11266:12288 12295:13310 13317:14332 14339:15354 15361:16383" s="361" customFormat="1" ht="15" customHeight="1">
      <c r="A4" s="38" t="s">
        <v>148</v>
      </c>
      <c r="B4" s="38"/>
      <c r="C4" s="38"/>
      <c r="D4" s="38"/>
      <c r="E4" s="38"/>
      <c r="F4" s="38"/>
      <c r="G4" s="38"/>
      <c r="H4" s="55"/>
      <c r="I4" s="55"/>
      <c r="J4" s="55"/>
      <c r="K4" s="39">
        <v>-23254004</v>
      </c>
      <c r="L4" s="39">
        <f>L3-L5</f>
        <v>248549590</v>
      </c>
      <c r="M4" s="39"/>
      <c r="N4" s="39"/>
      <c r="O4" s="39"/>
      <c r="P4" s="39"/>
      <c r="Q4" s="39"/>
    </row>
    <row r="5" spans="1:1018 1025:2047 2054:3069 3076:4091 4098:5120 5127:6142 6149:7164 7171:8186 8193:9215 9222:10237 10244:11259 11266:12288 12295:13310 13317:14332 14339:15354 15361:16383" s="364" customFormat="1" ht="15" customHeight="1">
      <c r="A5" s="43" t="s">
        <v>76</v>
      </c>
      <c r="B5" s="43"/>
      <c r="C5" s="43"/>
      <c r="D5" s="43"/>
      <c r="E5" s="43"/>
      <c r="F5" s="43"/>
      <c r="G5" s="43"/>
      <c r="H5" s="85">
        <f t="shared" ref="H5:K5" si="0">H3+H4</f>
        <v>14848743</v>
      </c>
      <c r="I5" s="85">
        <f t="shared" si="0"/>
        <v>10039549</v>
      </c>
      <c r="J5" s="85">
        <f t="shared" si="0"/>
        <v>19139918</v>
      </c>
      <c r="K5" s="85">
        <f t="shared" si="0"/>
        <v>4197192</v>
      </c>
      <c r="L5" s="394">
        <f>L3*P4</f>
        <v>0</v>
      </c>
      <c r="M5" s="394">
        <f>M3</f>
        <v>1498657461</v>
      </c>
      <c r="N5" s="394">
        <f>N3</f>
        <v>8390738256</v>
      </c>
      <c r="O5" s="394">
        <f>O3</f>
        <v>25284481000</v>
      </c>
      <c r="P5" s="394">
        <f>P3</f>
        <v>49818414</v>
      </c>
      <c r="Q5" s="394">
        <f>Q3</f>
        <v>53834005</v>
      </c>
    </row>
    <row r="6" spans="1:1018 1025:2047 2054:3069 3076:4091 4098:5120 5127:6142 6149:7164 7171:8186 8193:9215 9222:10237 10244:11259 11266:12288 12295:13310 13317:14332 14339:15354 15361:16383" s="364" customFormat="1" ht="15" customHeight="1">
      <c r="A6" s="38" t="s">
        <v>423</v>
      </c>
      <c r="B6" s="38"/>
      <c r="C6" s="38"/>
      <c r="D6" s="38"/>
      <c r="E6" s="38"/>
      <c r="F6" s="38"/>
      <c r="G6" s="43"/>
      <c r="H6" s="85">
        <f>244933</f>
        <v>244933</v>
      </c>
      <c r="I6" s="85">
        <f>245467</f>
        <v>245467</v>
      </c>
      <c r="J6" s="85"/>
      <c r="K6" s="85"/>
      <c r="L6" s="55">
        <v>20216067</v>
      </c>
      <c r="M6" s="55">
        <v>477331786</v>
      </c>
      <c r="N6" s="55">
        <v>1729386061</v>
      </c>
      <c r="O6" s="55">
        <v>5403401000</v>
      </c>
      <c r="P6" s="55">
        <v>14179147</v>
      </c>
      <c r="Q6" s="55">
        <v>12579230</v>
      </c>
    </row>
    <row r="7" spans="1:1018 1025:2047 2054:3069 3076:4091 4098:5120 5127:6142 6149:7164 7171:8186 8193:9215 9222:10237 10244:11259 11266:12288 12295:13310 13317:14332 14339:15354 15361:16383" s="361" customFormat="1" ht="15" customHeight="1">
      <c r="A7" s="38" t="s">
        <v>421</v>
      </c>
      <c r="B7" s="38"/>
      <c r="C7" s="38"/>
      <c r="D7" s="38"/>
      <c r="E7" s="38"/>
      <c r="F7" s="38"/>
      <c r="G7" s="38"/>
      <c r="H7" s="55">
        <f>1156370</f>
        <v>1156370</v>
      </c>
      <c r="I7" s="55">
        <f>1126745</f>
        <v>1126745</v>
      </c>
      <c r="J7" s="55"/>
      <c r="K7" s="39"/>
      <c r="L7" s="39">
        <v>-8619616</v>
      </c>
      <c r="M7" s="39">
        <v>-74600618</v>
      </c>
      <c r="N7" s="39">
        <v>-161998341</v>
      </c>
      <c r="O7" s="39">
        <v>-739978000</v>
      </c>
      <c r="P7" s="39">
        <v>-1812097</v>
      </c>
      <c r="Q7" s="39">
        <v>-4342126</v>
      </c>
    </row>
    <row r="8" spans="1:1018 1025:2047 2054:3069 3076:4091 4098:5120 5127:6142 6149:7164 7171:8186 8193:9215 9222:10237 10244:11259 11266:12288 12295:13310 13317:14332 14339:15354 15361:16383" s="361" customFormat="1" ht="15" customHeight="1">
      <c r="A8" s="38" t="s">
        <v>277</v>
      </c>
      <c r="B8" s="38"/>
      <c r="C8" s="38"/>
      <c r="D8" s="38"/>
      <c r="E8" s="38"/>
      <c r="F8" s="38"/>
      <c r="G8" s="38"/>
      <c r="H8" s="55"/>
      <c r="I8" s="55">
        <v>197995</v>
      </c>
      <c r="J8" s="55">
        <v>361927</v>
      </c>
      <c r="K8" s="39">
        <v>612322</v>
      </c>
      <c r="L8" s="39"/>
      <c r="M8" s="39"/>
      <c r="N8" s="39"/>
      <c r="O8" s="39"/>
      <c r="P8" s="39"/>
      <c r="Q8" s="39"/>
    </row>
    <row r="9" spans="1:1018 1025:2047 2054:3069 3076:4091 4098:5120 5127:6142 6149:7164 7171:8186 8193:9215 9222:10237 10244:11259 11266:12288 12295:13310 13317:14332 14339:15354 15361:16383" s="361" customFormat="1" ht="15" customHeight="1">
      <c r="A9" s="38" t="s">
        <v>396</v>
      </c>
      <c r="B9" s="38"/>
      <c r="C9" s="38"/>
      <c r="D9" s="38"/>
      <c r="E9" s="38"/>
      <c r="F9" s="38"/>
      <c r="G9" s="38"/>
      <c r="H9" s="55"/>
      <c r="I9" s="55">
        <v>-2924929</v>
      </c>
      <c r="J9" s="55">
        <v>-3047099</v>
      </c>
      <c r="K9" s="39">
        <v>-3558397</v>
      </c>
      <c r="L9" s="39"/>
      <c r="M9" s="39"/>
      <c r="N9" s="39"/>
      <c r="O9" s="39"/>
      <c r="P9" s="39"/>
      <c r="Q9" s="39"/>
    </row>
    <row r="10" spans="1:1018 1025:2047 2054:3069 3076:4091 4098:5120 5127:6142 6149:7164 7171:8186 8193:9215 9222:10237 10244:11259 11266:12288 12295:13310 13317:14332 14339:15354 15361:16383" s="368" customFormat="1" ht="15" customHeight="1">
      <c r="A10" s="37" t="s">
        <v>437</v>
      </c>
      <c r="B10" s="37"/>
      <c r="C10" s="37"/>
      <c r="D10" s="37"/>
      <c r="E10" s="37"/>
      <c r="F10" s="37"/>
      <c r="G10" s="37"/>
      <c r="H10" s="60">
        <v>-936437</v>
      </c>
      <c r="I10" s="60">
        <f t="shared" ref="I10:N10" si="1">SUM(I6:I9)</f>
        <v>-1354722</v>
      </c>
      <c r="J10" s="60">
        <f t="shared" si="1"/>
        <v>-2685172</v>
      </c>
      <c r="K10" s="60">
        <f t="shared" si="1"/>
        <v>-2946075</v>
      </c>
      <c r="L10" s="60">
        <f t="shared" si="1"/>
        <v>11596451</v>
      </c>
      <c r="M10" s="60">
        <f t="shared" si="1"/>
        <v>402731168</v>
      </c>
      <c r="N10" s="60">
        <f t="shared" si="1"/>
        <v>1567387720</v>
      </c>
      <c r="O10" s="60">
        <f t="shared" ref="O10:P10" si="2">SUM(O6:O9)</f>
        <v>4663423000</v>
      </c>
      <c r="P10" s="60">
        <f t="shared" si="2"/>
        <v>12367050</v>
      </c>
      <c r="Q10" s="60">
        <f t="shared" ref="Q10" si="3">SUM(Q6:Q9)</f>
        <v>8237104</v>
      </c>
      <c r="X10" s="369"/>
      <c r="AE10" s="369"/>
      <c r="AL10" s="369"/>
      <c r="AS10" s="369"/>
      <c r="AZ10" s="369"/>
      <c r="BG10" s="369"/>
      <c r="BN10" s="369"/>
      <c r="BU10" s="369"/>
      <c r="CB10" s="369"/>
      <c r="CI10" s="369"/>
      <c r="CP10" s="369"/>
      <c r="CW10" s="369"/>
      <c r="DD10" s="369"/>
      <c r="DK10" s="369"/>
      <c r="DR10" s="369"/>
      <c r="DY10" s="369"/>
      <c r="EF10" s="369"/>
      <c r="EM10" s="369"/>
      <c r="ET10" s="369"/>
      <c r="FA10" s="369"/>
      <c r="FH10" s="369"/>
      <c r="FO10" s="369"/>
      <c r="FV10" s="369"/>
      <c r="GC10" s="369"/>
      <c r="GJ10" s="369"/>
      <c r="GQ10" s="369"/>
      <c r="GX10" s="369"/>
      <c r="HE10" s="369"/>
      <c r="HL10" s="369"/>
      <c r="HS10" s="369"/>
      <c r="HZ10" s="369"/>
      <c r="IG10" s="369"/>
      <c r="IN10" s="369"/>
      <c r="IU10" s="369"/>
      <c r="JB10" s="369"/>
      <c r="JI10" s="369"/>
      <c r="JP10" s="369"/>
      <c r="JW10" s="369"/>
      <c r="KD10" s="369"/>
      <c r="KK10" s="369"/>
      <c r="KR10" s="369"/>
      <c r="KY10" s="369"/>
      <c r="LF10" s="369"/>
      <c r="LM10" s="369"/>
      <c r="LT10" s="369"/>
      <c r="MA10" s="369"/>
      <c r="MH10" s="369"/>
      <c r="MO10" s="369"/>
      <c r="MV10" s="369"/>
      <c r="NC10" s="369"/>
      <c r="NJ10" s="369"/>
      <c r="NQ10" s="369"/>
      <c r="NX10" s="369"/>
      <c r="OE10" s="369"/>
      <c r="OL10" s="369"/>
      <c r="OS10" s="369"/>
      <c r="OZ10" s="369"/>
      <c r="PG10" s="369"/>
      <c r="PN10" s="369"/>
      <c r="PU10" s="369"/>
      <c r="QB10" s="369"/>
      <c r="QI10" s="369"/>
      <c r="QP10" s="369"/>
      <c r="QW10" s="369"/>
      <c r="RD10" s="369"/>
      <c r="RK10" s="369"/>
      <c r="RR10" s="369"/>
      <c r="RY10" s="369"/>
      <c r="SF10" s="369"/>
      <c r="SM10" s="369"/>
      <c r="ST10" s="369"/>
      <c r="TA10" s="369"/>
      <c r="TH10" s="369"/>
      <c r="TO10" s="369"/>
      <c r="TV10" s="369"/>
      <c r="UC10" s="369"/>
      <c r="UJ10" s="369"/>
      <c r="UQ10" s="369"/>
      <c r="UX10" s="369"/>
      <c r="VE10" s="369"/>
      <c r="VL10" s="369"/>
      <c r="VS10" s="369"/>
      <c r="VZ10" s="369"/>
      <c r="WG10" s="369"/>
      <c r="WN10" s="369"/>
      <c r="WU10" s="369"/>
      <c r="XB10" s="369"/>
      <c r="XI10" s="369"/>
      <c r="XP10" s="369"/>
      <c r="XW10" s="369"/>
      <c r="YD10" s="369"/>
      <c r="YK10" s="369"/>
      <c r="YR10" s="369"/>
      <c r="YY10" s="369"/>
      <c r="ZF10" s="369"/>
      <c r="ZM10" s="369"/>
      <c r="ZT10" s="369"/>
      <c r="AAA10" s="369"/>
      <c r="AAH10" s="369"/>
      <c r="AAO10" s="369"/>
      <c r="AAV10" s="369"/>
      <c r="ABC10" s="369"/>
      <c r="ABJ10" s="369"/>
      <c r="ABQ10" s="369"/>
      <c r="ABX10" s="369"/>
      <c r="ACE10" s="369"/>
      <c r="ACL10" s="369"/>
      <c r="ACS10" s="369"/>
      <c r="ACZ10" s="369"/>
      <c r="ADG10" s="369"/>
      <c r="ADN10" s="369"/>
      <c r="ADU10" s="369"/>
      <c r="AEB10" s="369"/>
      <c r="AEI10" s="369"/>
      <c r="AEP10" s="369"/>
      <c r="AEW10" s="369"/>
      <c r="AFD10" s="369"/>
      <c r="AFK10" s="369"/>
      <c r="AFR10" s="369"/>
      <c r="AFY10" s="369"/>
      <c r="AGF10" s="369"/>
      <c r="AGM10" s="369"/>
      <c r="AGT10" s="369"/>
      <c r="AHA10" s="369"/>
      <c r="AHH10" s="369"/>
      <c r="AHO10" s="369"/>
      <c r="AHV10" s="369"/>
      <c r="AIC10" s="369"/>
      <c r="AIJ10" s="369"/>
      <c r="AIQ10" s="369"/>
      <c r="AIX10" s="369"/>
      <c r="AJE10" s="369"/>
      <c r="AJL10" s="369"/>
      <c r="AJS10" s="369"/>
      <c r="AJZ10" s="369"/>
      <c r="AKG10" s="369"/>
      <c r="AKN10" s="369"/>
      <c r="AKU10" s="369"/>
      <c r="ALB10" s="369"/>
      <c r="ALI10" s="369"/>
      <c r="ALP10" s="369"/>
      <c r="ALW10" s="369"/>
      <c r="AMD10" s="369"/>
      <c r="AMK10" s="369"/>
      <c r="AMR10" s="369"/>
      <c r="AMY10" s="369"/>
      <c r="ANF10" s="369"/>
      <c r="ANM10" s="369"/>
      <c r="ANT10" s="369"/>
      <c r="AOA10" s="369"/>
      <c r="AOH10" s="369"/>
      <c r="AOO10" s="369"/>
      <c r="AOV10" s="369"/>
      <c r="APC10" s="369"/>
      <c r="APJ10" s="369"/>
      <c r="APQ10" s="369"/>
      <c r="APX10" s="369"/>
      <c r="AQE10" s="369"/>
      <c r="AQL10" s="369"/>
      <c r="AQS10" s="369"/>
      <c r="AQZ10" s="369"/>
      <c r="ARG10" s="369"/>
      <c r="ARN10" s="369"/>
      <c r="ARU10" s="369"/>
      <c r="ASB10" s="369"/>
      <c r="ASI10" s="369"/>
      <c r="ASP10" s="369"/>
      <c r="ASW10" s="369"/>
      <c r="ATD10" s="369"/>
      <c r="ATK10" s="369"/>
      <c r="ATR10" s="369"/>
      <c r="ATY10" s="369"/>
      <c r="AUF10" s="369"/>
      <c r="AUM10" s="369"/>
      <c r="AUT10" s="369"/>
      <c r="AVA10" s="369"/>
      <c r="AVH10" s="369"/>
      <c r="AVO10" s="369"/>
      <c r="AVV10" s="369"/>
      <c r="AWC10" s="369"/>
      <c r="AWJ10" s="369"/>
      <c r="AWQ10" s="369"/>
      <c r="AWX10" s="369"/>
      <c r="AXE10" s="369"/>
      <c r="AXL10" s="369"/>
      <c r="AXS10" s="369"/>
      <c r="AXZ10" s="369"/>
      <c r="AYG10" s="369"/>
      <c r="AYN10" s="369"/>
      <c r="AYU10" s="369"/>
      <c r="AZB10" s="369"/>
      <c r="AZI10" s="369"/>
      <c r="AZP10" s="369"/>
      <c r="AZW10" s="369"/>
      <c r="BAD10" s="369"/>
      <c r="BAK10" s="369"/>
      <c r="BAR10" s="369"/>
      <c r="BAY10" s="369"/>
      <c r="BBF10" s="369"/>
      <c r="BBM10" s="369"/>
      <c r="BBT10" s="369"/>
      <c r="BCA10" s="369"/>
      <c r="BCH10" s="369"/>
      <c r="BCO10" s="369"/>
      <c r="BCV10" s="369"/>
      <c r="BDC10" s="369"/>
      <c r="BDJ10" s="369"/>
      <c r="BDQ10" s="369"/>
      <c r="BDX10" s="369"/>
      <c r="BEE10" s="369"/>
      <c r="BEL10" s="369"/>
      <c r="BES10" s="369"/>
      <c r="BEZ10" s="369"/>
      <c r="BFG10" s="369"/>
      <c r="BFN10" s="369"/>
      <c r="BFU10" s="369"/>
      <c r="BGB10" s="369"/>
      <c r="BGI10" s="369"/>
      <c r="BGP10" s="369"/>
      <c r="BGW10" s="369"/>
      <c r="BHD10" s="369"/>
      <c r="BHK10" s="369"/>
      <c r="BHR10" s="369"/>
      <c r="BHY10" s="369"/>
      <c r="BIF10" s="369"/>
      <c r="BIM10" s="369"/>
      <c r="BIT10" s="369"/>
      <c r="BJA10" s="369"/>
      <c r="BJH10" s="369"/>
      <c r="BJO10" s="369"/>
      <c r="BJV10" s="369"/>
      <c r="BKC10" s="369"/>
      <c r="BKJ10" s="369"/>
      <c r="BKQ10" s="369"/>
      <c r="BKX10" s="369"/>
      <c r="BLE10" s="369"/>
      <c r="BLL10" s="369"/>
      <c r="BLS10" s="369"/>
      <c r="BLZ10" s="369"/>
      <c r="BMG10" s="369"/>
      <c r="BMN10" s="369"/>
      <c r="BMU10" s="369"/>
      <c r="BNB10" s="369"/>
      <c r="BNI10" s="369"/>
      <c r="BNP10" s="369"/>
      <c r="BNW10" s="369"/>
      <c r="BOD10" s="369"/>
      <c r="BOK10" s="369"/>
      <c r="BOR10" s="369"/>
      <c r="BOY10" s="369"/>
      <c r="BPF10" s="369"/>
      <c r="BPM10" s="369"/>
      <c r="BPT10" s="369"/>
      <c r="BQA10" s="369"/>
      <c r="BQH10" s="369"/>
      <c r="BQO10" s="369"/>
      <c r="BQV10" s="369"/>
      <c r="BRC10" s="369"/>
      <c r="BRJ10" s="369"/>
      <c r="BRQ10" s="369"/>
      <c r="BRX10" s="369"/>
      <c r="BSE10" s="369"/>
      <c r="BSL10" s="369"/>
      <c r="BSS10" s="369"/>
      <c r="BSZ10" s="369"/>
      <c r="BTG10" s="369"/>
      <c r="BTN10" s="369"/>
      <c r="BTU10" s="369"/>
      <c r="BUB10" s="369"/>
      <c r="BUI10" s="369"/>
      <c r="BUP10" s="369"/>
      <c r="BUW10" s="369"/>
      <c r="BVD10" s="369"/>
      <c r="BVK10" s="369"/>
      <c r="BVR10" s="369"/>
      <c r="BVY10" s="369"/>
      <c r="BWF10" s="369"/>
      <c r="BWM10" s="369"/>
      <c r="BWT10" s="369"/>
      <c r="BXA10" s="369"/>
      <c r="BXH10" s="369"/>
      <c r="BXO10" s="369"/>
      <c r="BXV10" s="369"/>
      <c r="BYC10" s="369"/>
      <c r="BYJ10" s="369"/>
      <c r="BYQ10" s="369"/>
      <c r="BYX10" s="369"/>
      <c r="BZE10" s="369"/>
      <c r="BZL10" s="369"/>
      <c r="BZS10" s="369"/>
      <c r="BZZ10" s="369"/>
      <c r="CAG10" s="369"/>
      <c r="CAN10" s="369"/>
      <c r="CAU10" s="369"/>
      <c r="CBB10" s="369"/>
      <c r="CBI10" s="369"/>
      <c r="CBP10" s="369"/>
      <c r="CBW10" s="369"/>
      <c r="CCD10" s="369"/>
      <c r="CCK10" s="369"/>
      <c r="CCR10" s="369"/>
      <c r="CCY10" s="369"/>
      <c r="CDF10" s="369"/>
      <c r="CDM10" s="369"/>
      <c r="CDT10" s="369"/>
      <c r="CEA10" s="369"/>
      <c r="CEH10" s="369"/>
      <c r="CEO10" s="369"/>
      <c r="CEV10" s="369"/>
      <c r="CFC10" s="369"/>
      <c r="CFJ10" s="369"/>
      <c r="CFQ10" s="369"/>
      <c r="CFX10" s="369"/>
      <c r="CGE10" s="369"/>
      <c r="CGL10" s="369"/>
      <c r="CGS10" s="369"/>
      <c r="CGZ10" s="369"/>
      <c r="CHG10" s="369"/>
      <c r="CHN10" s="369"/>
      <c r="CHU10" s="369"/>
      <c r="CIB10" s="369"/>
      <c r="CII10" s="369"/>
      <c r="CIP10" s="369"/>
      <c r="CIW10" s="369"/>
      <c r="CJD10" s="369"/>
      <c r="CJK10" s="369"/>
      <c r="CJR10" s="369"/>
      <c r="CJY10" s="369"/>
      <c r="CKF10" s="369"/>
      <c r="CKM10" s="369"/>
      <c r="CKT10" s="369"/>
      <c r="CLA10" s="369"/>
      <c r="CLH10" s="369"/>
      <c r="CLO10" s="369"/>
      <c r="CLV10" s="369"/>
      <c r="CMC10" s="369"/>
      <c r="CMJ10" s="369"/>
      <c r="CMQ10" s="369"/>
      <c r="CMX10" s="369"/>
      <c r="CNE10" s="369"/>
      <c r="CNL10" s="369"/>
      <c r="CNS10" s="369"/>
      <c r="CNZ10" s="369"/>
      <c r="COG10" s="369"/>
      <c r="CON10" s="369"/>
      <c r="COU10" s="369"/>
      <c r="CPB10" s="369"/>
      <c r="CPI10" s="369"/>
      <c r="CPP10" s="369"/>
      <c r="CPW10" s="369"/>
      <c r="CQD10" s="369"/>
      <c r="CQK10" s="369"/>
      <c r="CQR10" s="369"/>
      <c r="CQY10" s="369"/>
      <c r="CRF10" s="369"/>
      <c r="CRM10" s="369"/>
      <c r="CRT10" s="369"/>
      <c r="CSA10" s="369"/>
      <c r="CSH10" s="369"/>
      <c r="CSO10" s="369"/>
      <c r="CSV10" s="369"/>
      <c r="CTC10" s="369"/>
      <c r="CTJ10" s="369"/>
      <c r="CTQ10" s="369"/>
      <c r="CTX10" s="369"/>
      <c r="CUE10" s="369"/>
      <c r="CUL10" s="369"/>
      <c r="CUS10" s="369"/>
      <c r="CUZ10" s="369"/>
      <c r="CVG10" s="369"/>
      <c r="CVN10" s="369"/>
      <c r="CVU10" s="369"/>
      <c r="CWB10" s="369"/>
      <c r="CWI10" s="369"/>
      <c r="CWP10" s="369"/>
      <c r="CWW10" s="369"/>
      <c r="CXD10" s="369"/>
      <c r="CXK10" s="369"/>
      <c r="CXR10" s="369"/>
      <c r="CXY10" s="369"/>
      <c r="CYF10" s="369"/>
      <c r="CYM10" s="369"/>
      <c r="CYT10" s="369"/>
      <c r="CZA10" s="369"/>
      <c r="CZH10" s="369"/>
      <c r="CZO10" s="369"/>
      <c r="CZV10" s="369"/>
      <c r="DAC10" s="369"/>
      <c r="DAJ10" s="369"/>
      <c r="DAQ10" s="369"/>
      <c r="DAX10" s="369"/>
      <c r="DBE10" s="369"/>
      <c r="DBL10" s="369"/>
      <c r="DBS10" s="369"/>
      <c r="DBZ10" s="369"/>
      <c r="DCG10" s="369"/>
      <c r="DCN10" s="369"/>
      <c r="DCU10" s="369"/>
      <c r="DDB10" s="369"/>
      <c r="DDI10" s="369"/>
      <c r="DDP10" s="369"/>
      <c r="DDW10" s="369"/>
      <c r="DED10" s="369"/>
      <c r="DEK10" s="369"/>
      <c r="DER10" s="369"/>
      <c r="DEY10" s="369"/>
      <c r="DFF10" s="369"/>
      <c r="DFM10" s="369"/>
      <c r="DFT10" s="369"/>
      <c r="DGA10" s="369"/>
      <c r="DGH10" s="369"/>
      <c r="DGO10" s="369"/>
      <c r="DGV10" s="369"/>
      <c r="DHC10" s="369"/>
      <c r="DHJ10" s="369"/>
      <c r="DHQ10" s="369"/>
      <c r="DHX10" s="369"/>
      <c r="DIE10" s="369"/>
      <c r="DIL10" s="369"/>
      <c r="DIS10" s="369"/>
      <c r="DIZ10" s="369"/>
      <c r="DJG10" s="369"/>
      <c r="DJN10" s="369"/>
      <c r="DJU10" s="369"/>
      <c r="DKB10" s="369"/>
      <c r="DKI10" s="369"/>
      <c r="DKP10" s="369"/>
      <c r="DKW10" s="369"/>
      <c r="DLD10" s="369"/>
      <c r="DLK10" s="369"/>
      <c r="DLR10" s="369"/>
      <c r="DLY10" s="369"/>
      <c r="DMF10" s="369"/>
      <c r="DMM10" s="369"/>
      <c r="DMT10" s="369"/>
      <c r="DNA10" s="369"/>
      <c r="DNH10" s="369"/>
      <c r="DNO10" s="369"/>
      <c r="DNV10" s="369"/>
      <c r="DOC10" s="369"/>
      <c r="DOJ10" s="369"/>
      <c r="DOQ10" s="369"/>
      <c r="DOX10" s="369"/>
      <c r="DPE10" s="369"/>
      <c r="DPL10" s="369"/>
      <c r="DPS10" s="369"/>
      <c r="DPZ10" s="369"/>
      <c r="DQG10" s="369"/>
      <c r="DQN10" s="369"/>
      <c r="DQU10" s="369"/>
      <c r="DRB10" s="369"/>
      <c r="DRI10" s="369"/>
      <c r="DRP10" s="369"/>
      <c r="DRW10" s="369"/>
      <c r="DSD10" s="369"/>
      <c r="DSK10" s="369"/>
      <c r="DSR10" s="369"/>
      <c r="DSY10" s="369"/>
      <c r="DTF10" s="369"/>
      <c r="DTM10" s="369"/>
      <c r="DTT10" s="369"/>
      <c r="DUA10" s="369"/>
      <c r="DUH10" s="369"/>
      <c r="DUO10" s="369"/>
      <c r="DUV10" s="369"/>
      <c r="DVC10" s="369"/>
      <c r="DVJ10" s="369"/>
      <c r="DVQ10" s="369"/>
      <c r="DVX10" s="369"/>
      <c r="DWE10" s="369"/>
      <c r="DWL10" s="369"/>
      <c r="DWS10" s="369"/>
      <c r="DWZ10" s="369"/>
      <c r="DXG10" s="369"/>
      <c r="DXN10" s="369"/>
      <c r="DXU10" s="369"/>
      <c r="DYB10" s="369"/>
      <c r="DYI10" s="369"/>
      <c r="DYP10" s="369"/>
      <c r="DYW10" s="369"/>
      <c r="DZD10" s="369"/>
      <c r="DZK10" s="369"/>
      <c r="DZR10" s="369"/>
      <c r="DZY10" s="369"/>
      <c r="EAF10" s="369"/>
      <c r="EAM10" s="369"/>
      <c r="EAT10" s="369"/>
      <c r="EBA10" s="369"/>
      <c r="EBH10" s="369"/>
      <c r="EBO10" s="369"/>
      <c r="EBV10" s="369"/>
      <c r="ECC10" s="369"/>
      <c r="ECJ10" s="369"/>
      <c r="ECQ10" s="369"/>
      <c r="ECX10" s="369"/>
      <c r="EDE10" s="369"/>
      <c r="EDL10" s="369"/>
      <c r="EDS10" s="369"/>
      <c r="EDZ10" s="369"/>
      <c r="EEG10" s="369"/>
      <c r="EEN10" s="369"/>
      <c r="EEU10" s="369"/>
      <c r="EFB10" s="369"/>
      <c r="EFI10" s="369"/>
      <c r="EFP10" s="369"/>
      <c r="EFW10" s="369"/>
      <c r="EGD10" s="369"/>
      <c r="EGK10" s="369"/>
      <c r="EGR10" s="369"/>
      <c r="EGY10" s="369"/>
      <c r="EHF10" s="369"/>
      <c r="EHM10" s="369"/>
      <c r="EHT10" s="369"/>
      <c r="EIA10" s="369"/>
      <c r="EIH10" s="369"/>
      <c r="EIO10" s="369"/>
      <c r="EIV10" s="369"/>
      <c r="EJC10" s="369"/>
      <c r="EJJ10" s="369"/>
      <c r="EJQ10" s="369"/>
      <c r="EJX10" s="369"/>
      <c r="EKE10" s="369"/>
      <c r="EKL10" s="369"/>
      <c r="EKS10" s="369"/>
      <c r="EKZ10" s="369"/>
      <c r="ELG10" s="369"/>
      <c r="ELN10" s="369"/>
      <c r="ELU10" s="369"/>
      <c r="EMB10" s="369"/>
      <c r="EMI10" s="369"/>
      <c r="EMP10" s="369"/>
      <c r="EMW10" s="369"/>
      <c r="END10" s="369"/>
      <c r="ENK10" s="369"/>
      <c r="ENR10" s="369"/>
      <c r="ENY10" s="369"/>
      <c r="EOF10" s="369"/>
      <c r="EOM10" s="369"/>
      <c r="EOT10" s="369"/>
      <c r="EPA10" s="369"/>
      <c r="EPH10" s="369"/>
      <c r="EPO10" s="369"/>
      <c r="EPV10" s="369"/>
      <c r="EQC10" s="369"/>
      <c r="EQJ10" s="369"/>
      <c r="EQQ10" s="369"/>
      <c r="EQX10" s="369"/>
      <c r="ERE10" s="369"/>
      <c r="ERL10" s="369"/>
      <c r="ERS10" s="369"/>
      <c r="ERZ10" s="369"/>
      <c r="ESG10" s="369"/>
      <c r="ESN10" s="369"/>
      <c r="ESU10" s="369"/>
      <c r="ETB10" s="369"/>
      <c r="ETI10" s="369"/>
      <c r="ETP10" s="369"/>
      <c r="ETW10" s="369"/>
      <c r="EUD10" s="369"/>
      <c r="EUK10" s="369"/>
      <c r="EUR10" s="369"/>
      <c r="EUY10" s="369"/>
      <c r="EVF10" s="369"/>
      <c r="EVM10" s="369"/>
      <c r="EVT10" s="369"/>
      <c r="EWA10" s="369"/>
      <c r="EWH10" s="369"/>
      <c r="EWO10" s="369"/>
      <c r="EWV10" s="369"/>
      <c r="EXC10" s="369"/>
      <c r="EXJ10" s="369"/>
      <c r="EXQ10" s="369"/>
      <c r="EXX10" s="369"/>
      <c r="EYE10" s="369"/>
      <c r="EYL10" s="369"/>
      <c r="EYS10" s="369"/>
      <c r="EYZ10" s="369"/>
      <c r="EZG10" s="369"/>
      <c r="EZN10" s="369"/>
      <c r="EZU10" s="369"/>
      <c r="FAB10" s="369"/>
      <c r="FAI10" s="369"/>
      <c r="FAP10" s="369"/>
      <c r="FAW10" s="369"/>
      <c r="FBD10" s="369"/>
      <c r="FBK10" s="369"/>
      <c r="FBR10" s="369"/>
      <c r="FBY10" s="369"/>
      <c r="FCF10" s="369"/>
      <c r="FCM10" s="369"/>
      <c r="FCT10" s="369"/>
      <c r="FDA10" s="369"/>
      <c r="FDH10" s="369"/>
      <c r="FDO10" s="369"/>
      <c r="FDV10" s="369"/>
      <c r="FEC10" s="369"/>
      <c r="FEJ10" s="369"/>
      <c r="FEQ10" s="369"/>
      <c r="FEX10" s="369"/>
      <c r="FFE10" s="369"/>
      <c r="FFL10" s="369"/>
      <c r="FFS10" s="369"/>
      <c r="FFZ10" s="369"/>
      <c r="FGG10" s="369"/>
      <c r="FGN10" s="369"/>
      <c r="FGU10" s="369"/>
      <c r="FHB10" s="369"/>
      <c r="FHI10" s="369"/>
      <c r="FHP10" s="369"/>
      <c r="FHW10" s="369"/>
      <c r="FID10" s="369"/>
      <c r="FIK10" s="369"/>
      <c r="FIR10" s="369"/>
      <c r="FIY10" s="369"/>
      <c r="FJF10" s="369"/>
      <c r="FJM10" s="369"/>
      <c r="FJT10" s="369"/>
      <c r="FKA10" s="369"/>
      <c r="FKH10" s="369"/>
      <c r="FKO10" s="369"/>
      <c r="FKV10" s="369"/>
      <c r="FLC10" s="369"/>
      <c r="FLJ10" s="369"/>
      <c r="FLQ10" s="369"/>
      <c r="FLX10" s="369"/>
      <c r="FME10" s="369"/>
      <c r="FML10" s="369"/>
      <c r="FMS10" s="369"/>
      <c r="FMZ10" s="369"/>
      <c r="FNG10" s="369"/>
      <c r="FNN10" s="369"/>
      <c r="FNU10" s="369"/>
      <c r="FOB10" s="369"/>
      <c r="FOI10" s="369"/>
      <c r="FOP10" s="369"/>
      <c r="FOW10" s="369"/>
      <c r="FPD10" s="369"/>
      <c r="FPK10" s="369"/>
      <c r="FPR10" s="369"/>
      <c r="FPY10" s="369"/>
      <c r="FQF10" s="369"/>
      <c r="FQM10" s="369"/>
      <c r="FQT10" s="369"/>
      <c r="FRA10" s="369"/>
      <c r="FRH10" s="369"/>
      <c r="FRO10" s="369"/>
      <c r="FRV10" s="369"/>
      <c r="FSC10" s="369"/>
      <c r="FSJ10" s="369"/>
      <c r="FSQ10" s="369"/>
      <c r="FSX10" s="369"/>
      <c r="FTE10" s="369"/>
      <c r="FTL10" s="369"/>
      <c r="FTS10" s="369"/>
      <c r="FTZ10" s="369"/>
      <c r="FUG10" s="369"/>
      <c r="FUN10" s="369"/>
      <c r="FUU10" s="369"/>
      <c r="FVB10" s="369"/>
      <c r="FVI10" s="369"/>
      <c r="FVP10" s="369"/>
      <c r="FVW10" s="369"/>
      <c r="FWD10" s="369"/>
      <c r="FWK10" s="369"/>
      <c r="FWR10" s="369"/>
      <c r="FWY10" s="369"/>
      <c r="FXF10" s="369"/>
      <c r="FXM10" s="369"/>
      <c r="FXT10" s="369"/>
      <c r="FYA10" s="369"/>
      <c r="FYH10" s="369"/>
      <c r="FYO10" s="369"/>
      <c r="FYV10" s="369"/>
      <c r="FZC10" s="369"/>
      <c r="FZJ10" s="369"/>
      <c r="FZQ10" s="369"/>
      <c r="FZX10" s="369"/>
      <c r="GAE10" s="369"/>
      <c r="GAL10" s="369"/>
      <c r="GAS10" s="369"/>
      <c r="GAZ10" s="369"/>
      <c r="GBG10" s="369"/>
      <c r="GBN10" s="369"/>
      <c r="GBU10" s="369"/>
      <c r="GCB10" s="369"/>
      <c r="GCI10" s="369"/>
      <c r="GCP10" s="369"/>
      <c r="GCW10" s="369"/>
      <c r="GDD10" s="369"/>
      <c r="GDK10" s="369"/>
      <c r="GDR10" s="369"/>
      <c r="GDY10" s="369"/>
      <c r="GEF10" s="369"/>
      <c r="GEM10" s="369"/>
      <c r="GET10" s="369"/>
      <c r="GFA10" s="369"/>
      <c r="GFH10" s="369"/>
      <c r="GFO10" s="369"/>
      <c r="GFV10" s="369"/>
      <c r="GGC10" s="369"/>
      <c r="GGJ10" s="369"/>
      <c r="GGQ10" s="369"/>
      <c r="GGX10" s="369"/>
      <c r="GHE10" s="369"/>
      <c r="GHL10" s="369"/>
      <c r="GHS10" s="369"/>
      <c r="GHZ10" s="369"/>
      <c r="GIG10" s="369"/>
      <c r="GIN10" s="369"/>
      <c r="GIU10" s="369"/>
      <c r="GJB10" s="369"/>
      <c r="GJI10" s="369"/>
      <c r="GJP10" s="369"/>
      <c r="GJW10" s="369"/>
      <c r="GKD10" s="369"/>
      <c r="GKK10" s="369"/>
      <c r="GKR10" s="369"/>
      <c r="GKY10" s="369"/>
      <c r="GLF10" s="369"/>
      <c r="GLM10" s="369"/>
      <c r="GLT10" s="369"/>
      <c r="GMA10" s="369"/>
      <c r="GMH10" s="369"/>
      <c r="GMO10" s="369"/>
      <c r="GMV10" s="369"/>
      <c r="GNC10" s="369"/>
      <c r="GNJ10" s="369"/>
      <c r="GNQ10" s="369"/>
      <c r="GNX10" s="369"/>
      <c r="GOE10" s="369"/>
      <c r="GOL10" s="369"/>
      <c r="GOS10" s="369"/>
      <c r="GOZ10" s="369"/>
      <c r="GPG10" s="369"/>
      <c r="GPN10" s="369"/>
      <c r="GPU10" s="369"/>
      <c r="GQB10" s="369"/>
      <c r="GQI10" s="369"/>
      <c r="GQP10" s="369"/>
      <c r="GQW10" s="369"/>
      <c r="GRD10" s="369"/>
      <c r="GRK10" s="369"/>
      <c r="GRR10" s="369"/>
      <c r="GRY10" s="369"/>
      <c r="GSF10" s="369"/>
      <c r="GSM10" s="369"/>
      <c r="GST10" s="369"/>
      <c r="GTA10" s="369"/>
      <c r="GTH10" s="369"/>
      <c r="GTO10" s="369"/>
      <c r="GTV10" s="369"/>
      <c r="GUC10" s="369"/>
      <c r="GUJ10" s="369"/>
      <c r="GUQ10" s="369"/>
      <c r="GUX10" s="369"/>
      <c r="GVE10" s="369"/>
      <c r="GVL10" s="369"/>
      <c r="GVS10" s="369"/>
      <c r="GVZ10" s="369"/>
      <c r="GWG10" s="369"/>
      <c r="GWN10" s="369"/>
      <c r="GWU10" s="369"/>
      <c r="GXB10" s="369"/>
      <c r="GXI10" s="369"/>
      <c r="GXP10" s="369"/>
      <c r="GXW10" s="369"/>
      <c r="GYD10" s="369"/>
      <c r="GYK10" s="369"/>
      <c r="GYR10" s="369"/>
      <c r="GYY10" s="369"/>
      <c r="GZF10" s="369"/>
      <c r="GZM10" s="369"/>
      <c r="GZT10" s="369"/>
      <c r="HAA10" s="369"/>
      <c r="HAH10" s="369"/>
      <c r="HAO10" s="369"/>
      <c r="HAV10" s="369"/>
      <c r="HBC10" s="369"/>
      <c r="HBJ10" s="369"/>
      <c r="HBQ10" s="369"/>
      <c r="HBX10" s="369"/>
      <c r="HCE10" s="369"/>
      <c r="HCL10" s="369"/>
      <c r="HCS10" s="369"/>
      <c r="HCZ10" s="369"/>
      <c r="HDG10" s="369"/>
      <c r="HDN10" s="369"/>
      <c r="HDU10" s="369"/>
      <c r="HEB10" s="369"/>
      <c r="HEI10" s="369"/>
      <c r="HEP10" s="369"/>
      <c r="HEW10" s="369"/>
      <c r="HFD10" s="369"/>
      <c r="HFK10" s="369"/>
      <c r="HFR10" s="369"/>
      <c r="HFY10" s="369"/>
      <c r="HGF10" s="369"/>
      <c r="HGM10" s="369"/>
      <c r="HGT10" s="369"/>
      <c r="HHA10" s="369"/>
      <c r="HHH10" s="369"/>
      <c r="HHO10" s="369"/>
      <c r="HHV10" s="369"/>
      <c r="HIC10" s="369"/>
      <c r="HIJ10" s="369"/>
      <c r="HIQ10" s="369"/>
      <c r="HIX10" s="369"/>
      <c r="HJE10" s="369"/>
      <c r="HJL10" s="369"/>
      <c r="HJS10" s="369"/>
      <c r="HJZ10" s="369"/>
      <c r="HKG10" s="369"/>
      <c r="HKN10" s="369"/>
      <c r="HKU10" s="369"/>
      <c r="HLB10" s="369"/>
      <c r="HLI10" s="369"/>
      <c r="HLP10" s="369"/>
      <c r="HLW10" s="369"/>
      <c r="HMD10" s="369"/>
      <c r="HMK10" s="369"/>
      <c r="HMR10" s="369"/>
      <c r="HMY10" s="369"/>
      <c r="HNF10" s="369"/>
      <c r="HNM10" s="369"/>
      <c r="HNT10" s="369"/>
      <c r="HOA10" s="369"/>
      <c r="HOH10" s="369"/>
      <c r="HOO10" s="369"/>
      <c r="HOV10" s="369"/>
      <c r="HPC10" s="369"/>
      <c r="HPJ10" s="369"/>
      <c r="HPQ10" s="369"/>
      <c r="HPX10" s="369"/>
      <c r="HQE10" s="369"/>
      <c r="HQL10" s="369"/>
      <c r="HQS10" s="369"/>
      <c r="HQZ10" s="369"/>
      <c r="HRG10" s="369"/>
      <c r="HRN10" s="369"/>
      <c r="HRU10" s="369"/>
      <c r="HSB10" s="369"/>
      <c r="HSI10" s="369"/>
      <c r="HSP10" s="369"/>
      <c r="HSW10" s="369"/>
      <c r="HTD10" s="369"/>
      <c r="HTK10" s="369"/>
      <c r="HTR10" s="369"/>
      <c r="HTY10" s="369"/>
      <c r="HUF10" s="369"/>
      <c r="HUM10" s="369"/>
      <c r="HUT10" s="369"/>
      <c r="HVA10" s="369"/>
      <c r="HVH10" s="369"/>
      <c r="HVO10" s="369"/>
      <c r="HVV10" s="369"/>
      <c r="HWC10" s="369"/>
      <c r="HWJ10" s="369"/>
      <c r="HWQ10" s="369"/>
      <c r="HWX10" s="369"/>
      <c r="HXE10" s="369"/>
      <c r="HXL10" s="369"/>
      <c r="HXS10" s="369"/>
      <c r="HXZ10" s="369"/>
      <c r="HYG10" s="369"/>
      <c r="HYN10" s="369"/>
      <c r="HYU10" s="369"/>
      <c r="HZB10" s="369"/>
      <c r="HZI10" s="369"/>
      <c r="HZP10" s="369"/>
      <c r="HZW10" s="369"/>
      <c r="IAD10" s="369"/>
      <c r="IAK10" s="369"/>
      <c r="IAR10" s="369"/>
      <c r="IAY10" s="369"/>
      <c r="IBF10" s="369"/>
      <c r="IBM10" s="369"/>
      <c r="IBT10" s="369"/>
      <c r="ICA10" s="369"/>
      <c r="ICH10" s="369"/>
      <c r="ICO10" s="369"/>
      <c r="ICV10" s="369"/>
      <c r="IDC10" s="369"/>
      <c r="IDJ10" s="369"/>
      <c r="IDQ10" s="369"/>
      <c r="IDX10" s="369"/>
      <c r="IEE10" s="369"/>
      <c r="IEL10" s="369"/>
      <c r="IES10" s="369"/>
      <c r="IEZ10" s="369"/>
      <c r="IFG10" s="369"/>
      <c r="IFN10" s="369"/>
      <c r="IFU10" s="369"/>
      <c r="IGB10" s="369"/>
      <c r="IGI10" s="369"/>
      <c r="IGP10" s="369"/>
      <c r="IGW10" s="369"/>
      <c r="IHD10" s="369"/>
      <c r="IHK10" s="369"/>
      <c r="IHR10" s="369"/>
      <c r="IHY10" s="369"/>
      <c r="IIF10" s="369"/>
      <c r="IIM10" s="369"/>
      <c r="IIT10" s="369"/>
      <c r="IJA10" s="369"/>
      <c r="IJH10" s="369"/>
      <c r="IJO10" s="369"/>
      <c r="IJV10" s="369"/>
      <c r="IKC10" s="369"/>
      <c r="IKJ10" s="369"/>
      <c r="IKQ10" s="369"/>
      <c r="IKX10" s="369"/>
      <c r="ILE10" s="369"/>
      <c r="ILL10" s="369"/>
      <c r="ILS10" s="369"/>
      <c r="ILZ10" s="369"/>
      <c r="IMG10" s="369"/>
      <c r="IMN10" s="369"/>
      <c r="IMU10" s="369"/>
      <c r="INB10" s="369"/>
      <c r="INI10" s="369"/>
      <c r="INP10" s="369"/>
      <c r="INW10" s="369"/>
      <c r="IOD10" s="369"/>
      <c r="IOK10" s="369"/>
      <c r="IOR10" s="369"/>
      <c r="IOY10" s="369"/>
      <c r="IPF10" s="369"/>
      <c r="IPM10" s="369"/>
      <c r="IPT10" s="369"/>
      <c r="IQA10" s="369"/>
      <c r="IQH10" s="369"/>
      <c r="IQO10" s="369"/>
      <c r="IQV10" s="369"/>
      <c r="IRC10" s="369"/>
      <c r="IRJ10" s="369"/>
      <c r="IRQ10" s="369"/>
      <c r="IRX10" s="369"/>
      <c r="ISE10" s="369"/>
      <c r="ISL10" s="369"/>
      <c r="ISS10" s="369"/>
      <c r="ISZ10" s="369"/>
      <c r="ITG10" s="369"/>
      <c r="ITN10" s="369"/>
      <c r="ITU10" s="369"/>
      <c r="IUB10" s="369"/>
      <c r="IUI10" s="369"/>
      <c r="IUP10" s="369"/>
      <c r="IUW10" s="369"/>
      <c r="IVD10" s="369"/>
      <c r="IVK10" s="369"/>
      <c r="IVR10" s="369"/>
      <c r="IVY10" s="369"/>
      <c r="IWF10" s="369"/>
      <c r="IWM10" s="369"/>
      <c r="IWT10" s="369"/>
      <c r="IXA10" s="369"/>
      <c r="IXH10" s="369"/>
      <c r="IXO10" s="369"/>
      <c r="IXV10" s="369"/>
      <c r="IYC10" s="369"/>
      <c r="IYJ10" s="369"/>
      <c r="IYQ10" s="369"/>
      <c r="IYX10" s="369"/>
      <c r="IZE10" s="369"/>
      <c r="IZL10" s="369"/>
      <c r="IZS10" s="369"/>
      <c r="IZZ10" s="369"/>
      <c r="JAG10" s="369"/>
      <c r="JAN10" s="369"/>
      <c r="JAU10" s="369"/>
      <c r="JBB10" s="369"/>
      <c r="JBI10" s="369"/>
      <c r="JBP10" s="369"/>
      <c r="JBW10" s="369"/>
      <c r="JCD10" s="369"/>
      <c r="JCK10" s="369"/>
      <c r="JCR10" s="369"/>
      <c r="JCY10" s="369"/>
      <c r="JDF10" s="369"/>
      <c r="JDM10" s="369"/>
      <c r="JDT10" s="369"/>
      <c r="JEA10" s="369"/>
      <c r="JEH10" s="369"/>
      <c r="JEO10" s="369"/>
      <c r="JEV10" s="369"/>
      <c r="JFC10" s="369"/>
      <c r="JFJ10" s="369"/>
      <c r="JFQ10" s="369"/>
      <c r="JFX10" s="369"/>
      <c r="JGE10" s="369"/>
      <c r="JGL10" s="369"/>
      <c r="JGS10" s="369"/>
      <c r="JGZ10" s="369"/>
      <c r="JHG10" s="369"/>
      <c r="JHN10" s="369"/>
      <c r="JHU10" s="369"/>
      <c r="JIB10" s="369"/>
      <c r="JII10" s="369"/>
      <c r="JIP10" s="369"/>
      <c r="JIW10" s="369"/>
      <c r="JJD10" s="369"/>
      <c r="JJK10" s="369"/>
      <c r="JJR10" s="369"/>
      <c r="JJY10" s="369"/>
      <c r="JKF10" s="369"/>
      <c r="JKM10" s="369"/>
      <c r="JKT10" s="369"/>
      <c r="JLA10" s="369"/>
      <c r="JLH10" s="369"/>
      <c r="JLO10" s="369"/>
      <c r="JLV10" s="369"/>
      <c r="JMC10" s="369"/>
      <c r="JMJ10" s="369"/>
      <c r="JMQ10" s="369"/>
      <c r="JMX10" s="369"/>
      <c r="JNE10" s="369"/>
      <c r="JNL10" s="369"/>
      <c r="JNS10" s="369"/>
      <c r="JNZ10" s="369"/>
      <c r="JOG10" s="369"/>
      <c r="JON10" s="369"/>
      <c r="JOU10" s="369"/>
      <c r="JPB10" s="369"/>
      <c r="JPI10" s="369"/>
      <c r="JPP10" s="369"/>
      <c r="JPW10" s="369"/>
      <c r="JQD10" s="369"/>
      <c r="JQK10" s="369"/>
      <c r="JQR10" s="369"/>
      <c r="JQY10" s="369"/>
      <c r="JRF10" s="369"/>
      <c r="JRM10" s="369"/>
      <c r="JRT10" s="369"/>
      <c r="JSA10" s="369"/>
      <c r="JSH10" s="369"/>
      <c r="JSO10" s="369"/>
      <c r="JSV10" s="369"/>
      <c r="JTC10" s="369"/>
      <c r="JTJ10" s="369"/>
      <c r="JTQ10" s="369"/>
      <c r="JTX10" s="369"/>
      <c r="JUE10" s="369"/>
      <c r="JUL10" s="369"/>
      <c r="JUS10" s="369"/>
      <c r="JUZ10" s="369"/>
      <c r="JVG10" s="369"/>
      <c r="JVN10" s="369"/>
      <c r="JVU10" s="369"/>
      <c r="JWB10" s="369"/>
      <c r="JWI10" s="369"/>
      <c r="JWP10" s="369"/>
      <c r="JWW10" s="369"/>
      <c r="JXD10" s="369"/>
      <c r="JXK10" s="369"/>
      <c r="JXR10" s="369"/>
      <c r="JXY10" s="369"/>
      <c r="JYF10" s="369"/>
      <c r="JYM10" s="369"/>
      <c r="JYT10" s="369"/>
      <c r="JZA10" s="369"/>
      <c r="JZH10" s="369"/>
      <c r="JZO10" s="369"/>
      <c r="JZV10" s="369"/>
      <c r="KAC10" s="369"/>
      <c r="KAJ10" s="369"/>
      <c r="KAQ10" s="369"/>
      <c r="KAX10" s="369"/>
      <c r="KBE10" s="369"/>
      <c r="KBL10" s="369"/>
      <c r="KBS10" s="369"/>
      <c r="KBZ10" s="369"/>
      <c r="KCG10" s="369"/>
      <c r="KCN10" s="369"/>
      <c r="KCU10" s="369"/>
      <c r="KDB10" s="369"/>
      <c r="KDI10" s="369"/>
      <c r="KDP10" s="369"/>
      <c r="KDW10" s="369"/>
      <c r="KED10" s="369"/>
      <c r="KEK10" s="369"/>
      <c r="KER10" s="369"/>
      <c r="KEY10" s="369"/>
      <c r="KFF10" s="369"/>
      <c r="KFM10" s="369"/>
      <c r="KFT10" s="369"/>
      <c r="KGA10" s="369"/>
      <c r="KGH10" s="369"/>
      <c r="KGO10" s="369"/>
      <c r="KGV10" s="369"/>
      <c r="KHC10" s="369"/>
      <c r="KHJ10" s="369"/>
      <c r="KHQ10" s="369"/>
      <c r="KHX10" s="369"/>
      <c r="KIE10" s="369"/>
      <c r="KIL10" s="369"/>
      <c r="KIS10" s="369"/>
      <c r="KIZ10" s="369"/>
      <c r="KJG10" s="369"/>
      <c r="KJN10" s="369"/>
      <c r="KJU10" s="369"/>
      <c r="KKB10" s="369"/>
      <c r="KKI10" s="369"/>
      <c r="KKP10" s="369"/>
      <c r="KKW10" s="369"/>
      <c r="KLD10" s="369"/>
      <c r="KLK10" s="369"/>
      <c r="KLR10" s="369"/>
      <c r="KLY10" s="369"/>
      <c r="KMF10" s="369"/>
      <c r="KMM10" s="369"/>
      <c r="KMT10" s="369"/>
      <c r="KNA10" s="369"/>
      <c r="KNH10" s="369"/>
      <c r="KNO10" s="369"/>
      <c r="KNV10" s="369"/>
      <c r="KOC10" s="369"/>
      <c r="KOJ10" s="369"/>
      <c r="KOQ10" s="369"/>
      <c r="KOX10" s="369"/>
      <c r="KPE10" s="369"/>
      <c r="KPL10" s="369"/>
      <c r="KPS10" s="369"/>
      <c r="KPZ10" s="369"/>
      <c r="KQG10" s="369"/>
      <c r="KQN10" s="369"/>
      <c r="KQU10" s="369"/>
      <c r="KRB10" s="369"/>
      <c r="KRI10" s="369"/>
      <c r="KRP10" s="369"/>
      <c r="KRW10" s="369"/>
      <c r="KSD10" s="369"/>
      <c r="KSK10" s="369"/>
      <c r="KSR10" s="369"/>
      <c r="KSY10" s="369"/>
      <c r="KTF10" s="369"/>
      <c r="KTM10" s="369"/>
      <c r="KTT10" s="369"/>
      <c r="KUA10" s="369"/>
      <c r="KUH10" s="369"/>
      <c r="KUO10" s="369"/>
      <c r="KUV10" s="369"/>
      <c r="KVC10" s="369"/>
      <c r="KVJ10" s="369"/>
      <c r="KVQ10" s="369"/>
      <c r="KVX10" s="369"/>
      <c r="KWE10" s="369"/>
      <c r="KWL10" s="369"/>
      <c r="KWS10" s="369"/>
      <c r="KWZ10" s="369"/>
      <c r="KXG10" s="369"/>
      <c r="KXN10" s="369"/>
      <c r="KXU10" s="369"/>
      <c r="KYB10" s="369"/>
      <c r="KYI10" s="369"/>
      <c r="KYP10" s="369"/>
      <c r="KYW10" s="369"/>
      <c r="KZD10" s="369"/>
      <c r="KZK10" s="369"/>
      <c r="KZR10" s="369"/>
      <c r="KZY10" s="369"/>
      <c r="LAF10" s="369"/>
      <c r="LAM10" s="369"/>
      <c r="LAT10" s="369"/>
      <c r="LBA10" s="369"/>
      <c r="LBH10" s="369"/>
      <c r="LBO10" s="369"/>
      <c r="LBV10" s="369"/>
      <c r="LCC10" s="369"/>
      <c r="LCJ10" s="369"/>
      <c r="LCQ10" s="369"/>
      <c r="LCX10" s="369"/>
      <c r="LDE10" s="369"/>
      <c r="LDL10" s="369"/>
      <c r="LDS10" s="369"/>
      <c r="LDZ10" s="369"/>
      <c r="LEG10" s="369"/>
      <c r="LEN10" s="369"/>
      <c r="LEU10" s="369"/>
      <c r="LFB10" s="369"/>
      <c r="LFI10" s="369"/>
      <c r="LFP10" s="369"/>
      <c r="LFW10" s="369"/>
      <c r="LGD10" s="369"/>
      <c r="LGK10" s="369"/>
      <c r="LGR10" s="369"/>
      <c r="LGY10" s="369"/>
      <c r="LHF10" s="369"/>
      <c r="LHM10" s="369"/>
      <c r="LHT10" s="369"/>
      <c r="LIA10" s="369"/>
      <c r="LIH10" s="369"/>
      <c r="LIO10" s="369"/>
      <c r="LIV10" s="369"/>
      <c r="LJC10" s="369"/>
      <c r="LJJ10" s="369"/>
      <c r="LJQ10" s="369"/>
      <c r="LJX10" s="369"/>
      <c r="LKE10" s="369"/>
      <c r="LKL10" s="369"/>
      <c r="LKS10" s="369"/>
      <c r="LKZ10" s="369"/>
      <c r="LLG10" s="369"/>
      <c r="LLN10" s="369"/>
      <c r="LLU10" s="369"/>
      <c r="LMB10" s="369"/>
      <c r="LMI10" s="369"/>
      <c r="LMP10" s="369"/>
      <c r="LMW10" s="369"/>
      <c r="LND10" s="369"/>
      <c r="LNK10" s="369"/>
      <c r="LNR10" s="369"/>
      <c r="LNY10" s="369"/>
      <c r="LOF10" s="369"/>
      <c r="LOM10" s="369"/>
      <c r="LOT10" s="369"/>
      <c r="LPA10" s="369"/>
      <c r="LPH10" s="369"/>
      <c r="LPO10" s="369"/>
      <c r="LPV10" s="369"/>
      <c r="LQC10" s="369"/>
      <c r="LQJ10" s="369"/>
      <c r="LQQ10" s="369"/>
      <c r="LQX10" s="369"/>
      <c r="LRE10" s="369"/>
      <c r="LRL10" s="369"/>
      <c r="LRS10" s="369"/>
      <c r="LRZ10" s="369"/>
      <c r="LSG10" s="369"/>
      <c r="LSN10" s="369"/>
      <c r="LSU10" s="369"/>
      <c r="LTB10" s="369"/>
      <c r="LTI10" s="369"/>
      <c r="LTP10" s="369"/>
      <c r="LTW10" s="369"/>
      <c r="LUD10" s="369"/>
      <c r="LUK10" s="369"/>
      <c r="LUR10" s="369"/>
      <c r="LUY10" s="369"/>
      <c r="LVF10" s="369"/>
      <c r="LVM10" s="369"/>
      <c r="LVT10" s="369"/>
      <c r="LWA10" s="369"/>
      <c r="LWH10" s="369"/>
      <c r="LWO10" s="369"/>
      <c r="LWV10" s="369"/>
      <c r="LXC10" s="369"/>
      <c r="LXJ10" s="369"/>
      <c r="LXQ10" s="369"/>
      <c r="LXX10" s="369"/>
      <c r="LYE10" s="369"/>
      <c r="LYL10" s="369"/>
      <c r="LYS10" s="369"/>
      <c r="LYZ10" s="369"/>
      <c r="LZG10" s="369"/>
      <c r="LZN10" s="369"/>
      <c r="LZU10" s="369"/>
      <c r="MAB10" s="369"/>
      <c r="MAI10" s="369"/>
      <c r="MAP10" s="369"/>
      <c r="MAW10" s="369"/>
      <c r="MBD10" s="369"/>
      <c r="MBK10" s="369"/>
      <c r="MBR10" s="369"/>
      <c r="MBY10" s="369"/>
      <c r="MCF10" s="369"/>
      <c r="MCM10" s="369"/>
      <c r="MCT10" s="369"/>
      <c r="MDA10" s="369"/>
      <c r="MDH10" s="369"/>
      <c r="MDO10" s="369"/>
      <c r="MDV10" s="369"/>
      <c r="MEC10" s="369"/>
      <c r="MEJ10" s="369"/>
      <c r="MEQ10" s="369"/>
      <c r="MEX10" s="369"/>
      <c r="MFE10" s="369"/>
      <c r="MFL10" s="369"/>
      <c r="MFS10" s="369"/>
      <c r="MFZ10" s="369"/>
      <c r="MGG10" s="369"/>
      <c r="MGN10" s="369"/>
      <c r="MGU10" s="369"/>
      <c r="MHB10" s="369"/>
      <c r="MHI10" s="369"/>
      <c r="MHP10" s="369"/>
      <c r="MHW10" s="369"/>
      <c r="MID10" s="369"/>
      <c r="MIK10" s="369"/>
      <c r="MIR10" s="369"/>
      <c r="MIY10" s="369"/>
      <c r="MJF10" s="369"/>
      <c r="MJM10" s="369"/>
      <c r="MJT10" s="369"/>
      <c r="MKA10" s="369"/>
      <c r="MKH10" s="369"/>
      <c r="MKO10" s="369"/>
      <c r="MKV10" s="369"/>
      <c r="MLC10" s="369"/>
      <c r="MLJ10" s="369"/>
      <c r="MLQ10" s="369"/>
      <c r="MLX10" s="369"/>
      <c r="MME10" s="369"/>
      <c r="MML10" s="369"/>
      <c r="MMS10" s="369"/>
      <c r="MMZ10" s="369"/>
      <c r="MNG10" s="369"/>
      <c r="MNN10" s="369"/>
      <c r="MNU10" s="369"/>
      <c r="MOB10" s="369"/>
      <c r="MOI10" s="369"/>
      <c r="MOP10" s="369"/>
      <c r="MOW10" s="369"/>
      <c r="MPD10" s="369"/>
      <c r="MPK10" s="369"/>
      <c r="MPR10" s="369"/>
      <c r="MPY10" s="369"/>
      <c r="MQF10" s="369"/>
      <c r="MQM10" s="369"/>
      <c r="MQT10" s="369"/>
      <c r="MRA10" s="369"/>
      <c r="MRH10" s="369"/>
      <c r="MRO10" s="369"/>
      <c r="MRV10" s="369"/>
      <c r="MSC10" s="369"/>
      <c r="MSJ10" s="369"/>
      <c r="MSQ10" s="369"/>
      <c r="MSX10" s="369"/>
      <c r="MTE10" s="369"/>
      <c r="MTL10" s="369"/>
      <c r="MTS10" s="369"/>
      <c r="MTZ10" s="369"/>
      <c r="MUG10" s="369"/>
      <c r="MUN10" s="369"/>
      <c r="MUU10" s="369"/>
      <c r="MVB10" s="369"/>
      <c r="MVI10" s="369"/>
      <c r="MVP10" s="369"/>
      <c r="MVW10" s="369"/>
      <c r="MWD10" s="369"/>
      <c r="MWK10" s="369"/>
      <c r="MWR10" s="369"/>
      <c r="MWY10" s="369"/>
      <c r="MXF10" s="369"/>
      <c r="MXM10" s="369"/>
      <c r="MXT10" s="369"/>
      <c r="MYA10" s="369"/>
      <c r="MYH10" s="369"/>
      <c r="MYO10" s="369"/>
      <c r="MYV10" s="369"/>
      <c r="MZC10" s="369"/>
      <c r="MZJ10" s="369"/>
      <c r="MZQ10" s="369"/>
      <c r="MZX10" s="369"/>
      <c r="NAE10" s="369"/>
      <c r="NAL10" s="369"/>
      <c r="NAS10" s="369"/>
      <c r="NAZ10" s="369"/>
      <c r="NBG10" s="369"/>
      <c r="NBN10" s="369"/>
      <c r="NBU10" s="369"/>
      <c r="NCB10" s="369"/>
      <c r="NCI10" s="369"/>
      <c r="NCP10" s="369"/>
      <c r="NCW10" s="369"/>
      <c r="NDD10" s="369"/>
      <c r="NDK10" s="369"/>
      <c r="NDR10" s="369"/>
      <c r="NDY10" s="369"/>
      <c r="NEF10" s="369"/>
      <c r="NEM10" s="369"/>
      <c r="NET10" s="369"/>
      <c r="NFA10" s="369"/>
      <c r="NFH10" s="369"/>
      <c r="NFO10" s="369"/>
      <c r="NFV10" s="369"/>
      <c r="NGC10" s="369"/>
      <c r="NGJ10" s="369"/>
      <c r="NGQ10" s="369"/>
      <c r="NGX10" s="369"/>
      <c r="NHE10" s="369"/>
      <c r="NHL10" s="369"/>
      <c r="NHS10" s="369"/>
      <c r="NHZ10" s="369"/>
      <c r="NIG10" s="369"/>
      <c r="NIN10" s="369"/>
      <c r="NIU10" s="369"/>
      <c r="NJB10" s="369"/>
      <c r="NJI10" s="369"/>
      <c r="NJP10" s="369"/>
      <c r="NJW10" s="369"/>
      <c r="NKD10" s="369"/>
      <c r="NKK10" s="369"/>
      <c r="NKR10" s="369"/>
      <c r="NKY10" s="369"/>
      <c r="NLF10" s="369"/>
      <c r="NLM10" s="369"/>
      <c r="NLT10" s="369"/>
      <c r="NMA10" s="369"/>
      <c r="NMH10" s="369"/>
      <c r="NMO10" s="369"/>
      <c r="NMV10" s="369"/>
      <c r="NNC10" s="369"/>
      <c r="NNJ10" s="369"/>
      <c r="NNQ10" s="369"/>
      <c r="NNX10" s="369"/>
      <c r="NOE10" s="369"/>
      <c r="NOL10" s="369"/>
      <c r="NOS10" s="369"/>
      <c r="NOZ10" s="369"/>
      <c r="NPG10" s="369"/>
      <c r="NPN10" s="369"/>
      <c r="NPU10" s="369"/>
      <c r="NQB10" s="369"/>
      <c r="NQI10" s="369"/>
      <c r="NQP10" s="369"/>
      <c r="NQW10" s="369"/>
      <c r="NRD10" s="369"/>
      <c r="NRK10" s="369"/>
      <c r="NRR10" s="369"/>
      <c r="NRY10" s="369"/>
      <c r="NSF10" s="369"/>
      <c r="NSM10" s="369"/>
      <c r="NST10" s="369"/>
      <c r="NTA10" s="369"/>
      <c r="NTH10" s="369"/>
      <c r="NTO10" s="369"/>
      <c r="NTV10" s="369"/>
      <c r="NUC10" s="369"/>
      <c r="NUJ10" s="369"/>
      <c r="NUQ10" s="369"/>
      <c r="NUX10" s="369"/>
      <c r="NVE10" s="369"/>
      <c r="NVL10" s="369"/>
      <c r="NVS10" s="369"/>
      <c r="NVZ10" s="369"/>
      <c r="NWG10" s="369"/>
      <c r="NWN10" s="369"/>
      <c r="NWU10" s="369"/>
      <c r="NXB10" s="369"/>
      <c r="NXI10" s="369"/>
      <c r="NXP10" s="369"/>
      <c r="NXW10" s="369"/>
      <c r="NYD10" s="369"/>
      <c r="NYK10" s="369"/>
      <c r="NYR10" s="369"/>
      <c r="NYY10" s="369"/>
      <c r="NZF10" s="369"/>
      <c r="NZM10" s="369"/>
      <c r="NZT10" s="369"/>
      <c r="OAA10" s="369"/>
      <c r="OAH10" s="369"/>
      <c r="OAO10" s="369"/>
      <c r="OAV10" s="369"/>
      <c r="OBC10" s="369"/>
      <c r="OBJ10" s="369"/>
      <c r="OBQ10" s="369"/>
      <c r="OBX10" s="369"/>
      <c r="OCE10" s="369"/>
      <c r="OCL10" s="369"/>
      <c r="OCS10" s="369"/>
      <c r="OCZ10" s="369"/>
      <c r="ODG10" s="369"/>
      <c r="ODN10" s="369"/>
      <c r="ODU10" s="369"/>
      <c r="OEB10" s="369"/>
      <c r="OEI10" s="369"/>
      <c r="OEP10" s="369"/>
      <c r="OEW10" s="369"/>
      <c r="OFD10" s="369"/>
      <c r="OFK10" s="369"/>
      <c r="OFR10" s="369"/>
      <c r="OFY10" s="369"/>
      <c r="OGF10" s="369"/>
      <c r="OGM10" s="369"/>
      <c r="OGT10" s="369"/>
      <c r="OHA10" s="369"/>
      <c r="OHH10" s="369"/>
      <c r="OHO10" s="369"/>
      <c r="OHV10" s="369"/>
      <c r="OIC10" s="369"/>
      <c r="OIJ10" s="369"/>
      <c r="OIQ10" s="369"/>
      <c r="OIX10" s="369"/>
      <c r="OJE10" s="369"/>
      <c r="OJL10" s="369"/>
      <c r="OJS10" s="369"/>
      <c r="OJZ10" s="369"/>
      <c r="OKG10" s="369"/>
      <c r="OKN10" s="369"/>
      <c r="OKU10" s="369"/>
      <c r="OLB10" s="369"/>
      <c r="OLI10" s="369"/>
      <c r="OLP10" s="369"/>
      <c r="OLW10" s="369"/>
      <c r="OMD10" s="369"/>
      <c r="OMK10" s="369"/>
      <c r="OMR10" s="369"/>
      <c r="OMY10" s="369"/>
      <c r="ONF10" s="369"/>
      <c r="ONM10" s="369"/>
      <c r="ONT10" s="369"/>
      <c r="OOA10" s="369"/>
      <c r="OOH10" s="369"/>
      <c r="OOO10" s="369"/>
      <c r="OOV10" s="369"/>
      <c r="OPC10" s="369"/>
      <c r="OPJ10" s="369"/>
      <c r="OPQ10" s="369"/>
      <c r="OPX10" s="369"/>
      <c r="OQE10" s="369"/>
      <c r="OQL10" s="369"/>
      <c r="OQS10" s="369"/>
      <c r="OQZ10" s="369"/>
      <c r="ORG10" s="369"/>
      <c r="ORN10" s="369"/>
      <c r="ORU10" s="369"/>
      <c r="OSB10" s="369"/>
      <c r="OSI10" s="369"/>
      <c r="OSP10" s="369"/>
      <c r="OSW10" s="369"/>
      <c r="OTD10" s="369"/>
      <c r="OTK10" s="369"/>
      <c r="OTR10" s="369"/>
      <c r="OTY10" s="369"/>
      <c r="OUF10" s="369"/>
      <c r="OUM10" s="369"/>
      <c r="OUT10" s="369"/>
      <c r="OVA10" s="369"/>
      <c r="OVH10" s="369"/>
      <c r="OVO10" s="369"/>
      <c r="OVV10" s="369"/>
      <c r="OWC10" s="369"/>
      <c r="OWJ10" s="369"/>
      <c r="OWQ10" s="369"/>
      <c r="OWX10" s="369"/>
      <c r="OXE10" s="369"/>
      <c r="OXL10" s="369"/>
      <c r="OXS10" s="369"/>
      <c r="OXZ10" s="369"/>
      <c r="OYG10" s="369"/>
      <c r="OYN10" s="369"/>
      <c r="OYU10" s="369"/>
      <c r="OZB10" s="369"/>
      <c r="OZI10" s="369"/>
      <c r="OZP10" s="369"/>
      <c r="OZW10" s="369"/>
      <c r="PAD10" s="369"/>
      <c r="PAK10" s="369"/>
      <c r="PAR10" s="369"/>
      <c r="PAY10" s="369"/>
      <c r="PBF10" s="369"/>
      <c r="PBM10" s="369"/>
      <c r="PBT10" s="369"/>
      <c r="PCA10" s="369"/>
      <c r="PCH10" s="369"/>
      <c r="PCO10" s="369"/>
      <c r="PCV10" s="369"/>
      <c r="PDC10" s="369"/>
      <c r="PDJ10" s="369"/>
      <c r="PDQ10" s="369"/>
      <c r="PDX10" s="369"/>
      <c r="PEE10" s="369"/>
      <c r="PEL10" s="369"/>
      <c r="PES10" s="369"/>
      <c r="PEZ10" s="369"/>
      <c r="PFG10" s="369"/>
      <c r="PFN10" s="369"/>
      <c r="PFU10" s="369"/>
      <c r="PGB10" s="369"/>
      <c r="PGI10" s="369"/>
      <c r="PGP10" s="369"/>
      <c r="PGW10" s="369"/>
      <c r="PHD10" s="369"/>
      <c r="PHK10" s="369"/>
      <c r="PHR10" s="369"/>
      <c r="PHY10" s="369"/>
      <c r="PIF10" s="369"/>
      <c r="PIM10" s="369"/>
      <c r="PIT10" s="369"/>
      <c r="PJA10" s="369"/>
      <c r="PJH10" s="369"/>
      <c r="PJO10" s="369"/>
      <c r="PJV10" s="369"/>
      <c r="PKC10" s="369"/>
      <c r="PKJ10" s="369"/>
      <c r="PKQ10" s="369"/>
      <c r="PKX10" s="369"/>
      <c r="PLE10" s="369"/>
      <c r="PLL10" s="369"/>
      <c r="PLS10" s="369"/>
      <c r="PLZ10" s="369"/>
      <c r="PMG10" s="369"/>
      <c r="PMN10" s="369"/>
      <c r="PMU10" s="369"/>
      <c r="PNB10" s="369"/>
      <c r="PNI10" s="369"/>
      <c r="PNP10" s="369"/>
      <c r="PNW10" s="369"/>
      <c r="POD10" s="369"/>
      <c r="POK10" s="369"/>
      <c r="POR10" s="369"/>
      <c r="POY10" s="369"/>
      <c r="PPF10" s="369"/>
      <c r="PPM10" s="369"/>
      <c r="PPT10" s="369"/>
      <c r="PQA10" s="369"/>
      <c r="PQH10" s="369"/>
      <c r="PQO10" s="369"/>
      <c r="PQV10" s="369"/>
      <c r="PRC10" s="369"/>
      <c r="PRJ10" s="369"/>
      <c r="PRQ10" s="369"/>
      <c r="PRX10" s="369"/>
      <c r="PSE10" s="369"/>
      <c r="PSL10" s="369"/>
      <c r="PSS10" s="369"/>
      <c r="PSZ10" s="369"/>
      <c r="PTG10" s="369"/>
      <c r="PTN10" s="369"/>
      <c r="PTU10" s="369"/>
      <c r="PUB10" s="369"/>
      <c r="PUI10" s="369"/>
      <c r="PUP10" s="369"/>
      <c r="PUW10" s="369"/>
      <c r="PVD10" s="369"/>
      <c r="PVK10" s="369"/>
      <c r="PVR10" s="369"/>
      <c r="PVY10" s="369"/>
      <c r="PWF10" s="369"/>
      <c r="PWM10" s="369"/>
      <c r="PWT10" s="369"/>
      <c r="PXA10" s="369"/>
      <c r="PXH10" s="369"/>
      <c r="PXO10" s="369"/>
      <c r="PXV10" s="369"/>
      <c r="PYC10" s="369"/>
      <c r="PYJ10" s="369"/>
      <c r="PYQ10" s="369"/>
      <c r="PYX10" s="369"/>
      <c r="PZE10" s="369"/>
      <c r="PZL10" s="369"/>
      <c r="PZS10" s="369"/>
      <c r="PZZ10" s="369"/>
      <c r="QAG10" s="369"/>
      <c r="QAN10" s="369"/>
      <c r="QAU10" s="369"/>
      <c r="QBB10" s="369"/>
      <c r="QBI10" s="369"/>
      <c r="QBP10" s="369"/>
      <c r="QBW10" s="369"/>
      <c r="QCD10" s="369"/>
      <c r="QCK10" s="369"/>
      <c r="QCR10" s="369"/>
      <c r="QCY10" s="369"/>
      <c r="QDF10" s="369"/>
      <c r="QDM10" s="369"/>
      <c r="QDT10" s="369"/>
      <c r="QEA10" s="369"/>
      <c r="QEH10" s="369"/>
      <c r="QEO10" s="369"/>
      <c r="QEV10" s="369"/>
      <c r="QFC10" s="369"/>
      <c r="QFJ10" s="369"/>
      <c r="QFQ10" s="369"/>
      <c r="QFX10" s="369"/>
      <c r="QGE10" s="369"/>
      <c r="QGL10" s="369"/>
      <c r="QGS10" s="369"/>
      <c r="QGZ10" s="369"/>
      <c r="QHG10" s="369"/>
      <c r="QHN10" s="369"/>
      <c r="QHU10" s="369"/>
      <c r="QIB10" s="369"/>
      <c r="QII10" s="369"/>
      <c r="QIP10" s="369"/>
      <c r="QIW10" s="369"/>
      <c r="QJD10" s="369"/>
      <c r="QJK10" s="369"/>
      <c r="QJR10" s="369"/>
      <c r="QJY10" s="369"/>
      <c r="QKF10" s="369"/>
      <c r="QKM10" s="369"/>
      <c r="QKT10" s="369"/>
      <c r="QLA10" s="369"/>
      <c r="QLH10" s="369"/>
      <c r="QLO10" s="369"/>
      <c r="QLV10" s="369"/>
      <c r="QMC10" s="369"/>
      <c r="QMJ10" s="369"/>
      <c r="QMQ10" s="369"/>
      <c r="QMX10" s="369"/>
      <c r="QNE10" s="369"/>
      <c r="QNL10" s="369"/>
      <c r="QNS10" s="369"/>
      <c r="QNZ10" s="369"/>
      <c r="QOG10" s="369"/>
      <c r="QON10" s="369"/>
      <c r="QOU10" s="369"/>
      <c r="QPB10" s="369"/>
      <c r="QPI10" s="369"/>
      <c r="QPP10" s="369"/>
      <c r="QPW10" s="369"/>
      <c r="QQD10" s="369"/>
      <c r="QQK10" s="369"/>
      <c r="QQR10" s="369"/>
      <c r="QQY10" s="369"/>
      <c r="QRF10" s="369"/>
      <c r="QRM10" s="369"/>
      <c r="QRT10" s="369"/>
      <c r="QSA10" s="369"/>
      <c r="QSH10" s="369"/>
      <c r="QSO10" s="369"/>
      <c r="QSV10" s="369"/>
      <c r="QTC10" s="369"/>
      <c r="QTJ10" s="369"/>
      <c r="QTQ10" s="369"/>
      <c r="QTX10" s="369"/>
      <c r="QUE10" s="369"/>
      <c r="QUL10" s="369"/>
      <c r="QUS10" s="369"/>
      <c r="QUZ10" s="369"/>
      <c r="QVG10" s="369"/>
      <c r="QVN10" s="369"/>
      <c r="QVU10" s="369"/>
      <c r="QWB10" s="369"/>
      <c r="QWI10" s="369"/>
      <c r="QWP10" s="369"/>
      <c r="QWW10" s="369"/>
      <c r="QXD10" s="369"/>
      <c r="QXK10" s="369"/>
      <c r="QXR10" s="369"/>
      <c r="QXY10" s="369"/>
      <c r="QYF10" s="369"/>
      <c r="QYM10" s="369"/>
      <c r="QYT10" s="369"/>
      <c r="QZA10" s="369"/>
      <c r="QZH10" s="369"/>
      <c r="QZO10" s="369"/>
      <c r="QZV10" s="369"/>
      <c r="RAC10" s="369"/>
      <c r="RAJ10" s="369"/>
      <c r="RAQ10" s="369"/>
      <c r="RAX10" s="369"/>
      <c r="RBE10" s="369"/>
      <c r="RBL10" s="369"/>
      <c r="RBS10" s="369"/>
      <c r="RBZ10" s="369"/>
      <c r="RCG10" s="369"/>
      <c r="RCN10" s="369"/>
      <c r="RCU10" s="369"/>
      <c r="RDB10" s="369"/>
      <c r="RDI10" s="369"/>
      <c r="RDP10" s="369"/>
      <c r="RDW10" s="369"/>
      <c r="RED10" s="369"/>
      <c r="REK10" s="369"/>
      <c r="RER10" s="369"/>
      <c r="REY10" s="369"/>
      <c r="RFF10" s="369"/>
      <c r="RFM10" s="369"/>
      <c r="RFT10" s="369"/>
      <c r="RGA10" s="369"/>
      <c r="RGH10" s="369"/>
      <c r="RGO10" s="369"/>
      <c r="RGV10" s="369"/>
      <c r="RHC10" s="369"/>
      <c r="RHJ10" s="369"/>
      <c r="RHQ10" s="369"/>
      <c r="RHX10" s="369"/>
      <c r="RIE10" s="369"/>
      <c r="RIL10" s="369"/>
      <c r="RIS10" s="369"/>
      <c r="RIZ10" s="369"/>
      <c r="RJG10" s="369"/>
      <c r="RJN10" s="369"/>
      <c r="RJU10" s="369"/>
      <c r="RKB10" s="369"/>
      <c r="RKI10" s="369"/>
      <c r="RKP10" s="369"/>
      <c r="RKW10" s="369"/>
      <c r="RLD10" s="369"/>
      <c r="RLK10" s="369"/>
      <c r="RLR10" s="369"/>
      <c r="RLY10" s="369"/>
      <c r="RMF10" s="369"/>
      <c r="RMM10" s="369"/>
      <c r="RMT10" s="369"/>
      <c r="RNA10" s="369"/>
      <c r="RNH10" s="369"/>
      <c r="RNO10" s="369"/>
      <c r="RNV10" s="369"/>
      <c r="ROC10" s="369"/>
      <c r="ROJ10" s="369"/>
      <c r="ROQ10" s="369"/>
      <c r="ROX10" s="369"/>
      <c r="RPE10" s="369"/>
      <c r="RPL10" s="369"/>
      <c r="RPS10" s="369"/>
      <c r="RPZ10" s="369"/>
      <c r="RQG10" s="369"/>
      <c r="RQN10" s="369"/>
      <c r="RQU10" s="369"/>
      <c r="RRB10" s="369"/>
      <c r="RRI10" s="369"/>
      <c r="RRP10" s="369"/>
      <c r="RRW10" s="369"/>
      <c r="RSD10" s="369"/>
      <c r="RSK10" s="369"/>
      <c r="RSR10" s="369"/>
      <c r="RSY10" s="369"/>
      <c r="RTF10" s="369"/>
      <c r="RTM10" s="369"/>
      <c r="RTT10" s="369"/>
      <c r="RUA10" s="369"/>
      <c r="RUH10" s="369"/>
      <c r="RUO10" s="369"/>
      <c r="RUV10" s="369"/>
      <c r="RVC10" s="369"/>
      <c r="RVJ10" s="369"/>
      <c r="RVQ10" s="369"/>
      <c r="RVX10" s="369"/>
      <c r="RWE10" s="369"/>
      <c r="RWL10" s="369"/>
      <c r="RWS10" s="369"/>
      <c r="RWZ10" s="369"/>
      <c r="RXG10" s="369"/>
      <c r="RXN10" s="369"/>
      <c r="RXU10" s="369"/>
      <c r="RYB10" s="369"/>
      <c r="RYI10" s="369"/>
      <c r="RYP10" s="369"/>
      <c r="RYW10" s="369"/>
      <c r="RZD10" s="369"/>
      <c r="RZK10" s="369"/>
      <c r="RZR10" s="369"/>
      <c r="RZY10" s="369"/>
      <c r="SAF10" s="369"/>
      <c r="SAM10" s="369"/>
      <c r="SAT10" s="369"/>
      <c r="SBA10" s="369"/>
      <c r="SBH10" s="369"/>
      <c r="SBO10" s="369"/>
      <c r="SBV10" s="369"/>
      <c r="SCC10" s="369"/>
      <c r="SCJ10" s="369"/>
      <c r="SCQ10" s="369"/>
      <c r="SCX10" s="369"/>
      <c r="SDE10" s="369"/>
      <c r="SDL10" s="369"/>
      <c r="SDS10" s="369"/>
      <c r="SDZ10" s="369"/>
      <c r="SEG10" s="369"/>
      <c r="SEN10" s="369"/>
      <c r="SEU10" s="369"/>
      <c r="SFB10" s="369"/>
      <c r="SFI10" s="369"/>
      <c r="SFP10" s="369"/>
      <c r="SFW10" s="369"/>
      <c r="SGD10" s="369"/>
      <c r="SGK10" s="369"/>
      <c r="SGR10" s="369"/>
      <c r="SGY10" s="369"/>
      <c r="SHF10" s="369"/>
      <c r="SHM10" s="369"/>
      <c r="SHT10" s="369"/>
      <c r="SIA10" s="369"/>
      <c r="SIH10" s="369"/>
      <c r="SIO10" s="369"/>
      <c r="SIV10" s="369"/>
      <c r="SJC10" s="369"/>
      <c r="SJJ10" s="369"/>
      <c r="SJQ10" s="369"/>
      <c r="SJX10" s="369"/>
      <c r="SKE10" s="369"/>
      <c r="SKL10" s="369"/>
      <c r="SKS10" s="369"/>
      <c r="SKZ10" s="369"/>
      <c r="SLG10" s="369"/>
      <c r="SLN10" s="369"/>
      <c r="SLU10" s="369"/>
      <c r="SMB10" s="369"/>
      <c r="SMI10" s="369"/>
      <c r="SMP10" s="369"/>
      <c r="SMW10" s="369"/>
      <c r="SND10" s="369"/>
      <c r="SNK10" s="369"/>
      <c r="SNR10" s="369"/>
      <c r="SNY10" s="369"/>
      <c r="SOF10" s="369"/>
      <c r="SOM10" s="369"/>
      <c r="SOT10" s="369"/>
      <c r="SPA10" s="369"/>
      <c r="SPH10" s="369"/>
      <c r="SPO10" s="369"/>
      <c r="SPV10" s="369"/>
      <c r="SQC10" s="369"/>
      <c r="SQJ10" s="369"/>
      <c r="SQQ10" s="369"/>
      <c r="SQX10" s="369"/>
      <c r="SRE10" s="369"/>
      <c r="SRL10" s="369"/>
      <c r="SRS10" s="369"/>
      <c r="SRZ10" s="369"/>
      <c r="SSG10" s="369"/>
      <c r="SSN10" s="369"/>
      <c r="SSU10" s="369"/>
      <c r="STB10" s="369"/>
      <c r="STI10" s="369"/>
      <c r="STP10" s="369"/>
      <c r="STW10" s="369"/>
      <c r="SUD10" s="369"/>
      <c r="SUK10" s="369"/>
      <c r="SUR10" s="369"/>
      <c r="SUY10" s="369"/>
      <c r="SVF10" s="369"/>
      <c r="SVM10" s="369"/>
      <c r="SVT10" s="369"/>
      <c r="SWA10" s="369"/>
      <c r="SWH10" s="369"/>
      <c r="SWO10" s="369"/>
      <c r="SWV10" s="369"/>
      <c r="SXC10" s="369"/>
      <c r="SXJ10" s="369"/>
      <c r="SXQ10" s="369"/>
      <c r="SXX10" s="369"/>
      <c r="SYE10" s="369"/>
      <c r="SYL10" s="369"/>
      <c r="SYS10" s="369"/>
      <c r="SYZ10" s="369"/>
      <c r="SZG10" s="369"/>
      <c r="SZN10" s="369"/>
      <c r="SZU10" s="369"/>
      <c r="TAB10" s="369"/>
      <c r="TAI10" s="369"/>
      <c r="TAP10" s="369"/>
      <c r="TAW10" s="369"/>
      <c r="TBD10" s="369"/>
      <c r="TBK10" s="369"/>
      <c r="TBR10" s="369"/>
      <c r="TBY10" s="369"/>
      <c r="TCF10" s="369"/>
      <c r="TCM10" s="369"/>
      <c r="TCT10" s="369"/>
      <c r="TDA10" s="369"/>
      <c r="TDH10" s="369"/>
      <c r="TDO10" s="369"/>
      <c r="TDV10" s="369"/>
      <c r="TEC10" s="369"/>
      <c r="TEJ10" s="369"/>
      <c r="TEQ10" s="369"/>
      <c r="TEX10" s="369"/>
      <c r="TFE10" s="369"/>
      <c r="TFL10" s="369"/>
      <c r="TFS10" s="369"/>
      <c r="TFZ10" s="369"/>
      <c r="TGG10" s="369"/>
      <c r="TGN10" s="369"/>
      <c r="TGU10" s="369"/>
      <c r="THB10" s="369"/>
      <c r="THI10" s="369"/>
      <c r="THP10" s="369"/>
      <c r="THW10" s="369"/>
      <c r="TID10" s="369"/>
      <c r="TIK10" s="369"/>
      <c r="TIR10" s="369"/>
      <c r="TIY10" s="369"/>
      <c r="TJF10" s="369"/>
      <c r="TJM10" s="369"/>
      <c r="TJT10" s="369"/>
      <c r="TKA10" s="369"/>
      <c r="TKH10" s="369"/>
      <c r="TKO10" s="369"/>
      <c r="TKV10" s="369"/>
      <c r="TLC10" s="369"/>
      <c r="TLJ10" s="369"/>
      <c r="TLQ10" s="369"/>
      <c r="TLX10" s="369"/>
      <c r="TME10" s="369"/>
      <c r="TML10" s="369"/>
      <c r="TMS10" s="369"/>
      <c r="TMZ10" s="369"/>
      <c r="TNG10" s="369"/>
      <c r="TNN10" s="369"/>
      <c r="TNU10" s="369"/>
      <c r="TOB10" s="369"/>
      <c r="TOI10" s="369"/>
      <c r="TOP10" s="369"/>
      <c r="TOW10" s="369"/>
      <c r="TPD10" s="369"/>
      <c r="TPK10" s="369"/>
      <c r="TPR10" s="369"/>
      <c r="TPY10" s="369"/>
      <c r="TQF10" s="369"/>
      <c r="TQM10" s="369"/>
      <c r="TQT10" s="369"/>
      <c r="TRA10" s="369"/>
      <c r="TRH10" s="369"/>
      <c r="TRO10" s="369"/>
      <c r="TRV10" s="369"/>
      <c r="TSC10" s="369"/>
      <c r="TSJ10" s="369"/>
      <c r="TSQ10" s="369"/>
      <c r="TSX10" s="369"/>
      <c r="TTE10" s="369"/>
      <c r="TTL10" s="369"/>
      <c r="TTS10" s="369"/>
      <c r="TTZ10" s="369"/>
      <c r="TUG10" s="369"/>
      <c r="TUN10" s="369"/>
      <c r="TUU10" s="369"/>
      <c r="TVB10" s="369"/>
      <c r="TVI10" s="369"/>
      <c r="TVP10" s="369"/>
      <c r="TVW10" s="369"/>
      <c r="TWD10" s="369"/>
      <c r="TWK10" s="369"/>
      <c r="TWR10" s="369"/>
      <c r="TWY10" s="369"/>
      <c r="TXF10" s="369"/>
      <c r="TXM10" s="369"/>
      <c r="TXT10" s="369"/>
      <c r="TYA10" s="369"/>
      <c r="TYH10" s="369"/>
      <c r="TYO10" s="369"/>
      <c r="TYV10" s="369"/>
      <c r="TZC10" s="369"/>
      <c r="TZJ10" s="369"/>
      <c r="TZQ10" s="369"/>
      <c r="TZX10" s="369"/>
      <c r="UAE10" s="369"/>
      <c r="UAL10" s="369"/>
      <c r="UAS10" s="369"/>
      <c r="UAZ10" s="369"/>
      <c r="UBG10" s="369"/>
      <c r="UBN10" s="369"/>
      <c r="UBU10" s="369"/>
      <c r="UCB10" s="369"/>
      <c r="UCI10" s="369"/>
      <c r="UCP10" s="369"/>
      <c r="UCW10" s="369"/>
      <c r="UDD10" s="369"/>
      <c r="UDK10" s="369"/>
      <c r="UDR10" s="369"/>
      <c r="UDY10" s="369"/>
      <c r="UEF10" s="369"/>
      <c r="UEM10" s="369"/>
      <c r="UET10" s="369"/>
      <c r="UFA10" s="369"/>
      <c r="UFH10" s="369"/>
      <c r="UFO10" s="369"/>
      <c r="UFV10" s="369"/>
      <c r="UGC10" s="369"/>
      <c r="UGJ10" s="369"/>
      <c r="UGQ10" s="369"/>
      <c r="UGX10" s="369"/>
      <c r="UHE10" s="369"/>
      <c r="UHL10" s="369"/>
      <c r="UHS10" s="369"/>
      <c r="UHZ10" s="369"/>
      <c r="UIG10" s="369"/>
      <c r="UIN10" s="369"/>
      <c r="UIU10" s="369"/>
      <c r="UJB10" s="369"/>
      <c r="UJI10" s="369"/>
      <c r="UJP10" s="369"/>
      <c r="UJW10" s="369"/>
      <c r="UKD10" s="369"/>
      <c r="UKK10" s="369"/>
      <c r="UKR10" s="369"/>
      <c r="UKY10" s="369"/>
      <c r="ULF10" s="369"/>
      <c r="ULM10" s="369"/>
      <c r="ULT10" s="369"/>
      <c r="UMA10" s="369"/>
      <c r="UMH10" s="369"/>
      <c r="UMO10" s="369"/>
      <c r="UMV10" s="369"/>
      <c r="UNC10" s="369"/>
      <c r="UNJ10" s="369"/>
      <c r="UNQ10" s="369"/>
      <c r="UNX10" s="369"/>
      <c r="UOE10" s="369"/>
      <c r="UOL10" s="369"/>
      <c r="UOS10" s="369"/>
      <c r="UOZ10" s="369"/>
      <c r="UPG10" s="369"/>
      <c r="UPN10" s="369"/>
      <c r="UPU10" s="369"/>
      <c r="UQB10" s="369"/>
      <c r="UQI10" s="369"/>
      <c r="UQP10" s="369"/>
      <c r="UQW10" s="369"/>
      <c r="URD10" s="369"/>
      <c r="URK10" s="369"/>
      <c r="URR10" s="369"/>
      <c r="URY10" s="369"/>
      <c r="USF10" s="369"/>
      <c r="USM10" s="369"/>
      <c r="UST10" s="369"/>
      <c r="UTA10" s="369"/>
      <c r="UTH10" s="369"/>
      <c r="UTO10" s="369"/>
      <c r="UTV10" s="369"/>
      <c r="UUC10" s="369"/>
      <c r="UUJ10" s="369"/>
      <c r="UUQ10" s="369"/>
      <c r="UUX10" s="369"/>
      <c r="UVE10" s="369"/>
      <c r="UVL10" s="369"/>
      <c r="UVS10" s="369"/>
      <c r="UVZ10" s="369"/>
      <c r="UWG10" s="369"/>
      <c r="UWN10" s="369"/>
      <c r="UWU10" s="369"/>
      <c r="UXB10" s="369"/>
      <c r="UXI10" s="369"/>
      <c r="UXP10" s="369"/>
      <c r="UXW10" s="369"/>
      <c r="UYD10" s="369"/>
      <c r="UYK10" s="369"/>
      <c r="UYR10" s="369"/>
      <c r="UYY10" s="369"/>
      <c r="UZF10" s="369"/>
      <c r="UZM10" s="369"/>
      <c r="UZT10" s="369"/>
      <c r="VAA10" s="369"/>
      <c r="VAH10" s="369"/>
      <c r="VAO10" s="369"/>
      <c r="VAV10" s="369"/>
      <c r="VBC10" s="369"/>
      <c r="VBJ10" s="369"/>
      <c r="VBQ10" s="369"/>
      <c r="VBX10" s="369"/>
      <c r="VCE10" s="369"/>
      <c r="VCL10" s="369"/>
      <c r="VCS10" s="369"/>
      <c r="VCZ10" s="369"/>
      <c r="VDG10" s="369"/>
      <c r="VDN10" s="369"/>
      <c r="VDU10" s="369"/>
      <c r="VEB10" s="369"/>
      <c r="VEI10" s="369"/>
      <c r="VEP10" s="369"/>
      <c r="VEW10" s="369"/>
      <c r="VFD10" s="369"/>
      <c r="VFK10" s="369"/>
      <c r="VFR10" s="369"/>
      <c r="VFY10" s="369"/>
      <c r="VGF10" s="369"/>
      <c r="VGM10" s="369"/>
      <c r="VGT10" s="369"/>
      <c r="VHA10" s="369"/>
      <c r="VHH10" s="369"/>
      <c r="VHO10" s="369"/>
      <c r="VHV10" s="369"/>
      <c r="VIC10" s="369"/>
      <c r="VIJ10" s="369"/>
      <c r="VIQ10" s="369"/>
      <c r="VIX10" s="369"/>
      <c r="VJE10" s="369"/>
      <c r="VJL10" s="369"/>
      <c r="VJS10" s="369"/>
      <c r="VJZ10" s="369"/>
      <c r="VKG10" s="369"/>
      <c r="VKN10" s="369"/>
      <c r="VKU10" s="369"/>
      <c r="VLB10" s="369"/>
      <c r="VLI10" s="369"/>
      <c r="VLP10" s="369"/>
      <c r="VLW10" s="369"/>
      <c r="VMD10" s="369"/>
      <c r="VMK10" s="369"/>
      <c r="VMR10" s="369"/>
      <c r="VMY10" s="369"/>
      <c r="VNF10" s="369"/>
      <c r="VNM10" s="369"/>
      <c r="VNT10" s="369"/>
      <c r="VOA10" s="369"/>
      <c r="VOH10" s="369"/>
      <c r="VOO10" s="369"/>
      <c r="VOV10" s="369"/>
      <c r="VPC10" s="369"/>
      <c r="VPJ10" s="369"/>
      <c r="VPQ10" s="369"/>
      <c r="VPX10" s="369"/>
      <c r="VQE10" s="369"/>
      <c r="VQL10" s="369"/>
      <c r="VQS10" s="369"/>
      <c r="VQZ10" s="369"/>
      <c r="VRG10" s="369"/>
      <c r="VRN10" s="369"/>
      <c r="VRU10" s="369"/>
      <c r="VSB10" s="369"/>
      <c r="VSI10" s="369"/>
      <c r="VSP10" s="369"/>
      <c r="VSW10" s="369"/>
      <c r="VTD10" s="369"/>
      <c r="VTK10" s="369"/>
      <c r="VTR10" s="369"/>
      <c r="VTY10" s="369"/>
      <c r="VUF10" s="369"/>
      <c r="VUM10" s="369"/>
      <c r="VUT10" s="369"/>
      <c r="VVA10" s="369"/>
      <c r="VVH10" s="369"/>
      <c r="VVO10" s="369"/>
      <c r="VVV10" s="369"/>
      <c r="VWC10" s="369"/>
      <c r="VWJ10" s="369"/>
      <c r="VWQ10" s="369"/>
      <c r="VWX10" s="369"/>
      <c r="VXE10" s="369"/>
      <c r="VXL10" s="369"/>
      <c r="VXS10" s="369"/>
      <c r="VXZ10" s="369"/>
      <c r="VYG10" s="369"/>
      <c r="VYN10" s="369"/>
      <c r="VYU10" s="369"/>
      <c r="VZB10" s="369"/>
      <c r="VZI10" s="369"/>
      <c r="VZP10" s="369"/>
      <c r="VZW10" s="369"/>
      <c r="WAD10" s="369"/>
      <c r="WAK10" s="369"/>
      <c r="WAR10" s="369"/>
      <c r="WAY10" s="369"/>
      <c r="WBF10" s="369"/>
      <c r="WBM10" s="369"/>
      <c r="WBT10" s="369"/>
      <c r="WCA10" s="369"/>
      <c r="WCH10" s="369"/>
      <c r="WCO10" s="369"/>
      <c r="WCV10" s="369"/>
      <c r="WDC10" s="369"/>
      <c r="WDJ10" s="369"/>
      <c r="WDQ10" s="369"/>
      <c r="WDX10" s="369"/>
      <c r="WEE10" s="369"/>
      <c r="WEL10" s="369"/>
      <c r="WES10" s="369"/>
      <c r="WEZ10" s="369"/>
      <c r="WFG10" s="369"/>
      <c r="WFN10" s="369"/>
      <c r="WFU10" s="369"/>
      <c r="WGB10" s="369"/>
      <c r="WGI10" s="369"/>
      <c r="WGP10" s="369"/>
      <c r="WGW10" s="369"/>
      <c r="WHD10" s="369"/>
      <c r="WHK10" s="369"/>
      <c r="WHR10" s="369"/>
      <c r="WHY10" s="369"/>
      <c r="WIF10" s="369"/>
      <c r="WIM10" s="369"/>
      <c r="WIT10" s="369"/>
      <c r="WJA10" s="369"/>
      <c r="WJH10" s="369"/>
      <c r="WJO10" s="369"/>
      <c r="WJV10" s="369"/>
      <c r="WKC10" s="369"/>
      <c r="WKJ10" s="369"/>
      <c r="WKQ10" s="369"/>
      <c r="WKX10" s="369"/>
      <c r="WLE10" s="369"/>
      <c r="WLL10" s="369"/>
      <c r="WLS10" s="369"/>
      <c r="WLZ10" s="369"/>
      <c r="WMG10" s="369"/>
      <c r="WMN10" s="369"/>
      <c r="WMU10" s="369"/>
      <c r="WNB10" s="369"/>
      <c r="WNI10" s="369"/>
      <c r="WNP10" s="369"/>
      <c r="WNW10" s="369"/>
      <c r="WOD10" s="369"/>
      <c r="WOK10" s="369"/>
      <c r="WOR10" s="369"/>
      <c r="WOY10" s="369"/>
      <c r="WPF10" s="369"/>
      <c r="WPM10" s="369"/>
      <c r="WPT10" s="369"/>
      <c r="WQA10" s="369"/>
      <c r="WQH10" s="369"/>
      <c r="WQO10" s="369"/>
      <c r="WQV10" s="369"/>
      <c r="WRC10" s="369"/>
      <c r="WRJ10" s="369"/>
      <c r="WRQ10" s="369"/>
      <c r="WRX10" s="369"/>
      <c r="WSE10" s="369"/>
      <c r="WSL10" s="369"/>
      <c r="WSS10" s="369"/>
      <c r="WSZ10" s="369"/>
      <c r="WTG10" s="369"/>
      <c r="WTN10" s="369"/>
      <c r="WTU10" s="369"/>
      <c r="WUB10" s="369"/>
      <c r="WUI10" s="369"/>
      <c r="WUP10" s="369"/>
      <c r="WUW10" s="369"/>
      <c r="WVD10" s="369"/>
      <c r="WVK10" s="369"/>
      <c r="WVR10" s="369"/>
      <c r="WVY10" s="369"/>
      <c r="WWF10" s="369"/>
      <c r="WWM10" s="369"/>
      <c r="WWT10" s="369"/>
      <c r="WXA10" s="369"/>
      <c r="WXH10" s="369"/>
      <c r="WXO10" s="369"/>
      <c r="WXV10" s="369"/>
      <c r="WYC10" s="369"/>
      <c r="WYJ10" s="369"/>
      <c r="WYQ10" s="369"/>
      <c r="WYX10" s="369"/>
      <c r="WZE10" s="369"/>
      <c r="WZL10" s="369"/>
      <c r="WZS10" s="369"/>
      <c r="WZZ10" s="369"/>
      <c r="XAG10" s="369"/>
      <c r="XAN10" s="369"/>
      <c r="XAU10" s="369"/>
      <c r="XBB10" s="369"/>
      <c r="XBI10" s="369"/>
      <c r="XBP10" s="369"/>
      <c r="XBW10" s="369"/>
      <c r="XCD10" s="369"/>
      <c r="XCK10" s="369"/>
      <c r="XCR10" s="369"/>
      <c r="XCY10" s="369"/>
      <c r="XDF10" s="369"/>
      <c r="XDM10" s="369"/>
      <c r="XDT10" s="369"/>
      <c r="XEA10" s="369"/>
      <c r="XEH10" s="369"/>
      <c r="XEO10" s="369"/>
      <c r="XEV10" s="369"/>
      <c r="XFC10" s="369"/>
    </row>
    <row r="11" spans="1:1018 1025:2047 2054:3069 3076:4091 4098:5120 5127:6142 6149:7164 7171:8186 8193:9215 9222:10237 10244:11259 11266:12288 12295:13310 13317:14332 14339:15354 15361:16383" s="361" customFormat="1" ht="15" customHeight="1">
      <c r="A11" s="38" t="s">
        <v>410</v>
      </c>
      <c r="B11" s="38"/>
      <c r="C11" s="38"/>
      <c r="D11" s="38"/>
      <c r="E11" s="38"/>
      <c r="F11" s="38"/>
      <c r="G11" s="38"/>
      <c r="H11" s="55"/>
      <c r="I11" s="55">
        <v>12715</v>
      </c>
      <c r="J11" s="55">
        <v>22687</v>
      </c>
      <c r="K11" s="39"/>
      <c r="L11" s="39"/>
      <c r="M11" s="39"/>
      <c r="N11" s="39"/>
      <c r="O11" s="39"/>
      <c r="P11" s="39"/>
      <c r="Q11" s="39"/>
    </row>
    <row r="12" spans="1:1018 1025:2047 2054:3069 3076:4091 4098:5120 5127:6142 6149:7164 7171:8186 8193:9215 9222:10237 10244:11259 11266:12288 12295:13310 13317:14332 14339:15354 15361:16383" s="361" customFormat="1" ht="15" customHeight="1">
      <c r="A12" s="38" t="s">
        <v>403</v>
      </c>
      <c r="B12" s="38"/>
      <c r="C12" s="38"/>
      <c r="D12" s="38"/>
      <c r="E12" s="38"/>
      <c r="F12" s="38"/>
      <c r="G12" s="38"/>
      <c r="H12" s="55">
        <f>-25000</f>
        <v>-25000</v>
      </c>
      <c r="I12" s="55">
        <f>-347807</f>
        <v>-347807</v>
      </c>
      <c r="J12" s="55"/>
      <c r="K12" s="39">
        <v>40500</v>
      </c>
      <c r="L12" s="39"/>
      <c r="M12" s="39">
        <v>164798251</v>
      </c>
      <c r="N12" s="39">
        <v>43635647</v>
      </c>
      <c r="O12" s="39">
        <v>1321803000</v>
      </c>
      <c r="P12" s="39">
        <v>4570270</v>
      </c>
      <c r="Q12" s="39">
        <v>2200</v>
      </c>
    </row>
    <row r="13" spans="1:1018 1025:2047 2054:3069 3076:4091 4098:5120 5127:6142 6149:7164 7171:8186 8193:9215 9222:10237 10244:11259 11266:12288 12295:13310 13317:14332 14339:15354 15361:16383" s="361" customFormat="1" ht="15" customHeight="1">
      <c r="A13" s="38" t="s">
        <v>422</v>
      </c>
      <c r="B13" s="38"/>
      <c r="C13" s="38"/>
      <c r="D13" s="38"/>
      <c r="E13" s="38"/>
      <c r="F13" s="38"/>
      <c r="G13" s="38"/>
      <c r="H13" s="55"/>
      <c r="I13" s="55"/>
      <c r="J13" s="55"/>
      <c r="K13" s="39"/>
      <c r="L13" s="39">
        <v>-1070216</v>
      </c>
      <c r="M13" s="39">
        <v>-4265353</v>
      </c>
      <c r="N13" s="39">
        <v>-12987289</v>
      </c>
      <c r="O13" s="39">
        <v>-338789000</v>
      </c>
      <c r="P13" s="39">
        <v>-245616</v>
      </c>
      <c r="Q13" s="39">
        <v>-363607</v>
      </c>
    </row>
    <row r="14" spans="1:1018 1025:2047 2054:3069 3076:4091 4098:5120 5127:6142 6149:7164 7171:8186 8193:9215 9222:10237 10244:11259 11266:12288 12295:13310 13317:14332 14339:15354 15361:16383" s="361" customFormat="1" ht="15" customHeight="1">
      <c r="A14" s="38" t="s">
        <v>433</v>
      </c>
      <c r="B14" s="38"/>
      <c r="C14" s="38"/>
      <c r="D14" s="38"/>
      <c r="E14" s="38"/>
      <c r="F14" s="38"/>
      <c r="G14" s="38"/>
      <c r="H14" s="55"/>
      <c r="I14" s="55"/>
      <c r="J14" s="55"/>
      <c r="K14" s="39"/>
      <c r="L14" s="39"/>
      <c r="M14" s="39">
        <v>-226574135</v>
      </c>
      <c r="N14" s="39">
        <v>-1017558893</v>
      </c>
      <c r="O14" s="39">
        <v>-996715000</v>
      </c>
      <c r="P14" s="39">
        <v>-3403309</v>
      </c>
      <c r="Q14" s="39"/>
    </row>
    <row r="15" spans="1:1018 1025:2047 2054:3069 3076:4091 4098:5120 5127:6142 6149:7164 7171:8186 8193:9215 9222:10237 10244:11259 11266:12288 12295:13310 13317:14332 14339:15354 15361:16383" s="361" customFormat="1" ht="15" customHeight="1">
      <c r="A15" s="38" t="s">
        <v>411</v>
      </c>
      <c r="B15" s="38"/>
      <c r="C15" s="38"/>
      <c r="D15" s="38"/>
      <c r="E15" s="38"/>
      <c r="F15" s="38"/>
      <c r="G15" s="38"/>
      <c r="H15" s="55"/>
      <c r="I15" s="55">
        <v>4438</v>
      </c>
      <c r="J15" s="55">
        <v>86302</v>
      </c>
      <c r="K15" s="39"/>
      <c r="L15" s="39"/>
      <c r="M15" s="39"/>
      <c r="N15" s="39"/>
      <c r="O15" s="39"/>
      <c r="P15" s="39"/>
      <c r="Q15" s="39"/>
    </row>
    <row r="16" spans="1:1018 1025:2047 2054:3069 3076:4091 4098:5120 5127:6142 6149:7164 7171:8186 8193:9215 9222:10237 10244:11259 11266:12288 12295:13310 13317:14332 14339:15354 15361:16383" s="361" customFormat="1" ht="15" customHeight="1">
      <c r="A16" s="38" t="s">
        <v>155</v>
      </c>
      <c r="B16" s="38"/>
      <c r="C16" s="38"/>
      <c r="D16" s="38"/>
      <c r="E16" s="38"/>
      <c r="F16" s="38"/>
      <c r="G16" s="38"/>
      <c r="H16" s="55">
        <v>-344253</v>
      </c>
      <c r="I16" s="55">
        <v>-82569</v>
      </c>
      <c r="J16" s="55">
        <v>-39621</v>
      </c>
      <c r="K16" s="39">
        <v>-117448</v>
      </c>
      <c r="L16" s="39"/>
      <c r="M16" s="39"/>
      <c r="N16" s="39"/>
      <c r="O16" s="39"/>
      <c r="P16" s="39"/>
      <c r="Q16" s="39"/>
    </row>
    <row r="17" spans="1:19">
      <c r="A17" s="37" t="s">
        <v>101</v>
      </c>
      <c r="B17" s="37"/>
      <c r="C17" s="37"/>
      <c r="D17" s="37"/>
      <c r="E17" s="37"/>
      <c r="F17" s="37"/>
      <c r="G17" s="37"/>
      <c r="H17" s="60">
        <f t="shared" ref="H17:M17" si="4">SUM(H10:H16)</f>
        <v>-1305690</v>
      </c>
      <c r="I17" s="60">
        <f t="shared" si="4"/>
        <v>-1767945</v>
      </c>
      <c r="J17" s="60">
        <f t="shared" si="4"/>
        <v>-2615804</v>
      </c>
      <c r="K17" s="60">
        <f t="shared" si="4"/>
        <v>-3023023</v>
      </c>
      <c r="L17" s="60">
        <f t="shared" si="4"/>
        <v>10526235</v>
      </c>
      <c r="M17" s="60">
        <f t="shared" si="4"/>
        <v>336689931</v>
      </c>
      <c r="N17" s="60">
        <f t="shared" ref="N17" si="5">SUM(N10:N16)</f>
        <v>580477185</v>
      </c>
      <c r="O17" s="60">
        <f t="shared" ref="O17:P17" si="6">SUM(O10:O16)</f>
        <v>4649722000</v>
      </c>
      <c r="P17" s="60">
        <f t="shared" si="6"/>
        <v>13288395</v>
      </c>
      <c r="Q17" s="60">
        <f t="shared" ref="Q17" si="7">SUM(Q10:Q16)</f>
        <v>7875697</v>
      </c>
    </row>
    <row r="18" spans="1:19">
      <c r="A18" s="17" t="s">
        <v>5</v>
      </c>
      <c r="B18" s="17"/>
      <c r="C18" s="17"/>
      <c r="D18" s="17"/>
      <c r="E18" s="17"/>
      <c r="F18" s="17"/>
      <c r="G18" s="17"/>
      <c r="H18" s="18">
        <v>272386</v>
      </c>
      <c r="I18" s="11">
        <v>932984</v>
      </c>
      <c r="J18" s="102">
        <v>-189038</v>
      </c>
      <c r="K18" s="76">
        <v>-475431</v>
      </c>
      <c r="L18" s="76">
        <v>-1358850</v>
      </c>
      <c r="M18" s="76">
        <v>-182858718</v>
      </c>
      <c r="N18" s="76">
        <v>-54238841</v>
      </c>
      <c r="O18" s="76">
        <v>-1263263000</v>
      </c>
      <c r="P18" s="76">
        <v>-887680</v>
      </c>
      <c r="Q18" s="76">
        <v>-325225</v>
      </c>
    </row>
    <row r="19" spans="1:19">
      <c r="A19" s="37" t="s">
        <v>140</v>
      </c>
      <c r="B19" s="37"/>
      <c r="C19" s="37"/>
      <c r="D19" s="37"/>
      <c r="E19" s="37"/>
      <c r="F19" s="37"/>
      <c r="G19" s="37"/>
      <c r="H19" s="60">
        <f t="shared" ref="H19:M19" si="8">H17+H18</f>
        <v>-1033304</v>
      </c>
      <c r="I19" s="60">
        <f t="shared" si="8"/>
        <v>-834961</v>
      </c>
      <c r="J19" s="60">
        <f t="shared" si="8"/>
        <v>-2804842</v>
      </c>
      <c r="K19" s="60">
        <f t="shared" si="8"/>
        <v>-3498454</v>
      </c>
      <c r="L19" s="60">
        <f t="shared" si="8"/>
        <v>9167385</v>
      </c>
      <c r="M19" s="60">
        <f t="shared" si="8"/>
        <v>153831213</v>
      </c>
      <c r="N19" s="60">
        <f t="shared" ref="N19" si="9">N17+N18</f>
        <v>526238344</v>
      </c>
      <c r="O19" s="60">
        <f t="shared" ref="O19:P19" si="10">O17+O18</f>
        <v>3386459000</v>
      </c>
      <c r="P19" s="60">
        <f t="shared" si="10"/>
        <v>12400715</v>
      </c>
      <c r="Q19" s="60">
        <f t="shared" ref="Q19" si="11">Q17+Q18</f>
        <v>7550472</v>
      </c>
      <c r="S19" s="370">
        <f>Q19/Q3</f>
        <v>0.14025469589342276</v>
      </c>
    </row>
    <row r="20" spans="1:19">
      <c r="A20" s="38" t="s">
        <v>139</v>
      </c>
      <c r="B20" s="38"/>
      <c r="C20" s="38"/>
      <c r="D20" s="38"/>
      <c r="E20" s="38"/>
      <c r="F20" s="38"/>
      <c r="G20" s="38"/>
      <c r="H20" s="16">
        <v>455881</v>
      </c>
      <c r="I20" s="55">
        <v>203403</v>
      </c>
      <c r="J20" s="55"/>
      <c r="K20" s="4"/>
      <c r="L20" s="4"/>
      <c r="M20" s="4"/>
      <c r="N20" s="4"/>
      <c r="O20" s="4"/>
      <c r="P20" s="4"/>
      <c r="Q20" s="4"/>
    </row>
    <row r="21" spans="1:19">
      <c r="A21" s="43" t="s">
        <v>137</v>
      </c>
      <c r="B21" s="43"/>
      <c r="C21" s="43"/>
      <c r="D21" s="43"/>
      <c r="E21" s="43"/>
      <c r="F21" s="43"/>
      <c r="G21" s="43"/>
      <c r="H21" s="42">
        <f t="shared" ref="H21:M21" si="12">SUM(H19:H20)</f>
        <v>-577423</v>
      </c>
      <c r="I21" s="42">
        <f t="shared" si="12"/>
        <v>-631558</v>
      </c>
      <c r="J21" s="42">
        <f t="shared" si="12"/>
        <v>-2804842</v>
      </c>
      <c r="K21" s="42">
        <f t="shared" si="12"/>
        <v>-3498454</v>
      </c>
      <c r="L21" s="42">
        <f t="shared" si="12"/>
        <v>9167385</v>
      </c>
      <c r="M21" s="42">
        <f t="shared" si="12"/>
        <v>153831213</v>
      </c>
      <c r="N21" s="42">
        <f t="shared" ref="N21" si="13">SUM(N19:N20)</f>
        <v>526238344</v>
      </c>
      <c r="O21" s="42">
        <f t="shared" ref="O21:P21" si="14">SUM(O19:O20)</f>
        <v>3386459000</v>
      </c>
      <c r="P21" s="42">
        <f t="shared" si="14"/>
        <v>12400715</v>
      </c>
      <c r="Q21" s="42">
        <f t="shared" ref="Q21" si="15">SUM(Q19:Q20)</f>
        <v>7550472</v>
      </c>
    </row>
    <row r="22" spans="1:19">
      <c r="A22" s="38" t="s">
        <v>141</v>
      </c>
      <c r="B22" s="38"/>
      <c r="C22" s="38"/>
      <c r="D22" s="38"/>
      <c r="E22" s="38"/>
      <c r="F22" s="38"/>
      <c r="G22" s="38"/>
      <c r="H22" s="16"/>
      <c r="I22" s="16">
        <v>520318</v>
      </c>
      <c r="J22" s="40">
        <v>610729</v>
      </c>
      <c r="K22" s="16">
        <v>1077972</v>
      </c>
      <c r="L22" s="16">
        <v>10354583</v>
      </c>
      <c r="M22" s="389">
        <v>40747176</v>
      </c>
      <c r="N22" s="389"/>
      <c r="O22" s="389"/>
      <c r="P22" s="389"/>
      <c r="Q22" s="389"/>
    </row>
    <row r="23" spans="1:19">
      <c r="A23" s="38" t="s">
        <v>287</v>
      </c>
      <c r="B23" s="38"/>
      <c r="C23" s="38"/>
      <c r="D23" s="38"/>
      <c r="E23" s="38"/>
      <c r="F23" s="38"/>
      <c r="G23" s="38"/>
      <c r="H23" s="16"/>
      <c r="I23" s="42">
        <f t="shared" ref="I23:N23" si="16">I21+I22</f>
        <v>-111240</v>
      </c>
      <c r="J23" s="42">
        <f t="shared" si="16"/>
        <v>-2194113</v>
      </c>
      <c r="K23" s="42">
        <f t="shared" si="16"/>
        <v>-2420482</v>
      </c>
      <c r="L23" s="42">
        <f t="shared" si="16"/>
        <v>19521968</v>
      </c>
      <c r="M23" s="42">
        <f t="shared" si="16"/>
        <v>194578389</v>
      </c>
      <c r="N23" s="42">
        <f t="shared" si="16"/>
        <v>526238344</v>
      </c>
      <c r="O23" s="42">
        <f t="shared" ref="O23:P23" si="17">O21+O22</f>
        <v>3386459000</v>
      </c>
      <c r="P23" s="42">
        <f t="shared" si="17"/>
        <v>12400715</v>
      </c>
      <c r="Q23" s="42">
        <f t="shared" ref="Q23" si="18">Q21+Q22</f>
        <v>7550472</v>
      </c>
    </row>
    <row r="24" spans="1:19">
      <c r="A24" s="38"/>
      <c r="B24" s="38"/>
      <c r="C24" s="38"/>
      <c r="D24" s="38"/>
      <c r="E24" s="38"/>
      <c r="F24" s="38"/>
      <c r="G24" s="38"/>
      <c r="H24" s="16"/>
      <c r="I24" s="16"/>
      <c r="J24" s="40"/>
      <c r="K24" s="4"/>
      <c r="L24" s="4"/>
      <c r="M24" s="4"/>
      <c r="N24" s="4"/>
      <c r="O24" s="4"/>
      <c r="P24" s="4"/>
      <c r="Q24" s="4"/>
    </row>
    <row r="25" spans="1:19">
      <c r="A25" s="43" t="s">
        <v>145</v>
      </c>
      <c r="B25" s="43"/>
      <c r="C25" s="43"/>
      <c r="D25" s="43"/>
      <c r="E25" s="43"/>
      <c r="F25" s="43"/>
      <c r="G25" s="43"/>
      <c r="H25" s="234">
        <f t="shared" ref="H25:M25" si="19">H27-H26</f>
        <v>-1033304</v>
      </c>
      <c r="I25" s="234">
        <f t="shared" si="19"/>
        <v>-834961</v>
      </c>
      <c r="J25" s="234">
        <f t="shared" si="19"/>
        <v>-2804842</v>
      </c>
      <c r="K25" s="234">
        <f t="shared" si="19"/>
        <v>-3498454</v>
      </c>
      <c r="L25" s="234">
        <f t="shared" si="19"/>
        <v>9167385</v>
      </c>
      <c r="M25" s="234">
        <f t="shared" si="19"/>
        <v>153831213</v>
      </c>
      <c r="N25" s="234">
        <f t="shared" ref="N25" si="20">N27-N26</f>
        <v>526238344</v>
      </c>
      <c r="O25" s="234">
        <f t="shared" ref="O25:P25" si="21">O27-O26</f>
        <v>3386459000</v>
      </c>
      <c r="P25" s="234">
        <f t="shared" si="21"/>
        <v>12400715</v>
      </c>
      <c r="Q25" s="234">
        <f t="shared" ref="Q25" si="22">Q27-Q26</f>
        <v>7550472</v>
      </c>
    </row>
    <row r="26" spans="1:19">
      <c r="A26" s="38" t="s">
        <v>70</v>
      </c>
      <c r="B26" s="38"/>
      <c r="C26" s="38"/>
      <c r="D26" s="38"/>
      <c r="E26" s="38"/>
      <c r="F26" s="38"/>
      <c r="G26" s="38"/>
      <c r="H26" s="16"/>
      <c r="I26" s="16"/>
      <c r="J26" s="40"/>
      <c r="K26" s="4"/>
      <c r="L26" s="4"/>
      <c r="M26" s="4"/>
      <c r="N26" s="4"/>
      <c r="O26" s="4"/>
      <c r="P26" s="4"/>
      <c r="Q26" s="4"/>
    </row>
    <row r="27" spans="1:19">
      <c r="A27" s="43" t="s">
        <v>102</v>
      </c>
      <c r="B27" s="43"/>
      <c r="C27" s="43"/>
      <c r="D27" s="43"/>
      <c r="E27" s="43"/>
      <c r="F27" s="43"/>
      <c r="G27" s="43"/>
      <c r="H27" s="234">
        <f t="shared" ref="H27:M27" si="23">H19</f>
        <v>-1033304</v>
      </c>
      <c r="I27" s="234">
        <f t="shared" si="23"/>
        <v>-834961</v>
      </c>
      <c r="J27" s="235">
        <f t="shared" si="23"/>
        <v>-2804842</v>
      </c>
      <c r="K27" s="235">
        <f t="shared" si="23"/>
        <v>-3498454</v>
      </c>
      <c r="L27" s="235">
        <f t="shared" si="23"/>
        <v>9167385</v>
      </c>
      <c r="M27" s="235">
        <f t="shared" si="23"/>
        <v>153831213</v>
      </c>
      <c r="N27" s="235">
        <f t="shared" ref="N27" si="24">N19</f>
        <v>526238344</v>
      </c>
      <c r="O27" s="235">
        <f t="shared" ref="O27:P27" si="25">O19</f>
        <v>3386459000</v>
      </c>
      <c r="P27" s="235">
        <f t="shared" si="25"/>
        <v>12400715</v>
      </c>
      <c r="Q27" s="235">
        <f t="shared" ref="Q27" si="26">Q19</f>
        <v>7550472</v>
      </c>
    </row>
    <row r="28" spans="1:19">
      <c r="A28" s="43"/>
      <c r="B28" s="43"/>
      <c r="C28" s="43"/>
      <c r="D28" s="43"/>
      <c r="E28" s="43"/>
      <c r="F28" s="43"/>
      <c r="G28" s="43"/>
      <c r="H28" s="234"/>
      <c r="I28" s="234"/>
      <c r="J28" s="235"/>
      <c r="K28" s="235"/>
      <c r="L28" s="235"/>
      <c r="M28" s="4"/>
      <c r="N28" s="4"/>
      <c r="O28" s="4"/>
      <c r="P28" s="4"/>
      <c r="Q28" s="4"/>
    </row>
    <row r="29" spans="1:19">
      <c r="A29" s="43" t="s">
        <v>145</v>
      </c>
      <c r="B29" s="43"/>
      <c r="C29" s="43"/>
      <c r="D29" s="43"/>
      <c r="E29" s="43"/>
      <c r="F29" s="43"/>
      <c r="G29" s="43"/>
      <c r="H29" s="16"/>
      <c r="I29" s="16"/>
      <c r="J29" s="40"/>
      <c r="K29" s="4"/>
      <c r="L29" s="4"/>
      <c r="M29" s="4"/>
      <c r="N29" s="4"/>
      <c r="O29" s="4"/>
      <c r="P29" s="4"/>
      <c r="Q29" s="4"/>
    </row>
    <row r="30" spans="1:19" ht="12.75" customHeight="1">
      <c r="A30" s="43" t="s">
        <v>138</v>
      </c>
      <c r="B30" s="43"/>
      <c r="C30" s="43"/>
      <c r="D30" s="43"/>
      <c r="E30" s="43"/>
      <c r="F30" s="43"/>
      <c r="G30" s="43"/>
      <c r="H30" s="41">
        <f t="shared" ref="H30:M30" si="27">H32-H31</f>
        <v>-577423</v>
      </c>
      <c r="I30" s="41">
        <f>I32-I31</f>
        <v>-111240</v>
      </c>
      <c r="J30" s="41">
        <f t="shared" si="27"/>
        <v>-2194113</v>
      </c>
      <c r="K30" s="41">
        <f t="shared" si="27"/>
        <v>-2420482</v>
      </c>
      <c r="L30" s="41">
        <f t="shared" si="27"/>
        <v>19521968</v>
      </c>
      <c r="M30" s="41">
        <f t="shared" si="27"/>
        <v>194578389</v>
      </c>
      <c r="N30" s="41">
        <f t="shared" ref="N30" si="28">N32-N31</f>
        <v>526238344</v>
      </c>
      <c r="O30" s="41">
        <f t="shared" ref="O30:P30" si="29">O32-O31</f>
        <v>3386459000</v>
      </c>
      <c r="P30" s="41">
        <f t="shared" si="29"/>
        <v>12400715</v>
      </c>
      <c r="Q30" s="41">
        <f t="shared" ref="Q30" si="30">Q32-Q31</f>
        <v>7550472</v>
      </c>
      <c r="R30" s="371"/>
    </row>
    <row r="31" spans="1:19">
      <c r="A31" s="38" t="s">
        <v>70</v>
      </c>
      <c r="B31" s="38"/>
      <c r="C31" s="38"/>
      <c r="D31" s="38"/>
      <c r="E31" s="38"/>
      <c r="F31" s="38"/>
      <c r="G31" s="38"/>
      <c r="H31" s="16"/>
      <c r="I31" s="16"/>
      <c r="J31" s="40"/>
      <c r="K31" s="4"/>
      <c r="L31" s="4"/>
      <c r="M31" s="4"/>
      <c r="N31" s="4"/>
      <c r="O31" s="4"/>
      <c r="P31" s="4"/>
      <c r="Q31" s="4"/>
    </row>
    <row r="32" spans="1:19" s="372" customFormat="1">
      <c r="A32" s="43" t="s">
        <v>102</v>
      </c>
      <c r="B32" s="43"/>
      <c r="C32" s="43"/>
      <c r="D32" s="43"/>
      <c r="E32" s="43"/>
      <c r="F32" s="43"/>
      <c r="G32" s="43"/>
      <c r="H32" s="42">
        <f>H21+H22</f>
        <v>-577423</v>
      </c>
      <c r="I32" s="42">
        <f t="shared" ref="I32:N32" si="31">I23</f>
        <v>-111240</v>
      </c>
      <c r="J32" s="42">
        <f t="shared" si="31"/>
        <v>-2194113</v>
      </c>
      <c r="K32" s="42">
        <f t="shared" si="31"/>
        <v>-2420482</v>
      </c>
      <c r="L32" s="42">
        <f t="shared" si="31"/>
        <v>19521968</v>
      </c>
      <c r="M32" s="42">
        <f t="shared" si="31"/>
        <v>194578389</v>
      </c>
      <c r="N32" s="42">
        <f t="shared" si="31"/>
        <v>526238344</v>
      </c>
      <c r="O32" s="42">
        <f t="shared" ref="O32:P32" si="32">O23</f>
        <v>3386459000</v>
      </c>
      <c r="P32" s="42">
        <f t="shared" si="32"/>
        <v>12400715</v>
      </c>
      <c r="Q32" s="42">
        <f t="shared" ref="Q32" si="33">Q23</f>
        <v>7550472</v>
      </c>
    </row>
    <row r="33" spans="1:33" s="372" customFormat="1">
      <c r="A33" s="17"/>
      <c r="B33" s="17"/>
      <c r="C33" s="17"/>
      <c r="D33" s="17"/>
      <c r="E33" s="17"/>
      <c r="F33" s="17"/>
      <c r="G33" s="17"/>
      <c r="H33" s="83"/>
      <c r="I33" s="84"/>
      <c r="J33" s="32"/>
      <c r="K33" s="2"/>
      <c r="L33" s="2"/>
      <c r="M33" s="2"/>
      <c r="N33" s="2"/>
      <c r="O33" s="2"/>
      <c r="P33" s="2"/>
      <c r="Q33" s="2"/>
    </row>
    <row r="34" spans="1:33" s="372" customFormat="1">
      <c r="A34" s="44" t="s">
        <v>36</v>
      </c>
      <c r="B34" s="44"/>
      <c r="C34" s="44"/>
      <c r="D34" s="44"/>
      <c r="E34" s="44"/>
      <c r="F34" s="44"/>
      <c r="G34" s="44"/>
      <c r="H34" s="45" t="e">
        <f>H25/H131*100</f>
        <v>#DIV/0!</v>
      </c>
      <c r="I34" s="45">
        <f>I25/I131*100</f>
        <v>-0.37867788459401647</v>
      </c>
      <c r="J34" s="45">
        <f>J25/J131*100</f>
        <v>-1.2720733485521485</v>
      </c>
      <c r="K34" s="45">
        <f>K30/K131*100</f>
        <v>-1.043221750631435</v>
      </c>
      <c r="L34" s="45">
        <f t="shared" ref="L34:N34" si="34">L30/L131*100</f>
        <v>8.3719734003588613</v>
      </c>
      <c r="M34" s="45">
        <f t="shared" si="34"/>
        <v>80.519513404360893</v>
      </c>
      <c r="N34" s="45">
        <f t="shared" si="34"/>
        <v>217.765475453683</v>
      </c>
      <c r="O34" s="45">
        <f t="shared" ref="O34:P34" si="35">O30/O131*100</f>
        <v>1401.3685293890403</v>
      </c>
      <c r="P34" s="45">
        <f t="shared" si="35"/>
        <v>5.1316055333676305</v>
      </c>
      <c r="Q34" s="45">
        <f t="shared" ref="Q34" si="36">Q30/Q131*100</f>
        <v>3.1540465349429803</v>
      </c>
      <c r="R34" s="373"/>
      <c r="S34" s="373"/>
      <c r="T34" s="373"/>
      <c r="U34" s="373"/>
      <c r="V34" s="373"/>
      <c r="W34" s="373"/>
      <c r="X34" s="373"/>
      <c r="Y34" s="373"/>
      <c r="Z34" s="373"/>
      <c r="AA34" s="373"/>
      <c r="AB34" s="373"/>
      <c r="AC34" s="373"/>
      <c r="AD34" s="373"/>
      <c r="AE34" s="373"/>
      <c r="AF34" s="373"/>
      <c r="AG34" s="373"/>
    </row>
    <row r="35" spans="1:33" s="372" customFormat="1">
      <c r="A35" s="44" t="s">
        <v>94</v>
      </c>
      <c r="B35" s="44"/>
      <c r="C35" s="44"/>
      <c r="D35" s="44"/>
      <c r="E35" s="44"/>
      <c r="F35" s="44"/>
      <c r="G35" s="44"/>
      <c r="H35" s="45"/>
      <c r="I35" s="45"/>
      <c r="J35" s="46"/>
      <c r="K35" s="47"/>
      <c r="L35" s="47">
        <v>3.86</v>
      </c>
      <c r="M35" s="47">
        <v>11.81</v>
      </c>
      <c r="N35" s="47">
        <v>11.81</v>
      </c>
      <c r="O35" s="47">
        <v>11.81</v>
      </c>
      <c r="P35" s="45">
        <f>P30/P131*100</f>
        <v>5.1316055333676305</v>
      </c>
      <c r="Q35" s="45">
        <f>Q30/Q131*100</f>
        <v>3.1540465349429803</v>
      </c>
    </row>
    <row r="36" spans="1:33" s="372" customFormat="1">
      <c r="A36" s="44" t="s">
        <v>89</v>
      </c>
      <c r="B36" s="44"/>
      <c r="C36" s="44"/>
      <c r="D36" s="44"/>
      <c r="E36" s="44"/>
      <c r="F36" s="44"/>
      <c r="G36" s="44"/>
      <c r="H36" s="45" t="e">
        <f>H30/H131*100</f>
        <v>#DIV/0!</v>
      </c>
      <c r="I36" s="45">
        <f t="shared" ref="I36:N36" si="37">I30/I131*100</f>
        <v>-5.0450413710626474E-2</v>
      </c>
      <c r="J36" s="45">
        <f t="shared" si="37"/>
        <v>-0.99509087178949829</v>
      </c>
      <c r="K36" s="45">
        <f t="shared" si="37"/>
        <v>-1.043221750631435</v>
      </c>
      <c r="L36" s="45">
        <f t="shared" si="37"/>
        <v>8.3719734003588613</v>
      </c>
      <c r="M36" s="45">
        <f t="shared" si="37"/>
        <v>80.519513404360893</v>
      </c>
      <c r="N36" s="45">
        <f t="shared" si="37"/>
        <v>217.765475453683</v>
      </c>
      <c r="O36" s="45">
        <f t="shared" ref="O36:P36" si="38">O30/O131*100</f>
        <v>1401.3685293890403</v>
      </c>
      <c r="P36" s="45">
        <f t="shared" si="38"/>
        <v>5.1316055333676305</v>
      </c>
      <c r="Q36" s="45">
        <f t="shared" ref="Q36" si="39">Q30/Q131*100</f>
        <v>3.1540465349429803</v>
      </c>
    </row>
    <row r="37" spans="1:33" s="372" customFormat="1">
      <c r="A37" s="50" t="s">
        <v>135</v>
      </c>
      <c r="B37" s="50"/>
      <c r="C37" s="50"/>
      <c r="D37" s="50"/>
      <c r="E37" s="50"/>
      <c r="F37" s="50"/>
      <c r="G37" s="50"/>
      <c r="H37" s="78"/>
      <c r="I37" s="48"/>
      <c r="J37" s="49"/>
      <c r="K37" s="47"/>
      <c r="L37" s="47"/>
      <c r="M37" s="47"/>
      <c r="N37" s="47"/>
      <c r="O37" s="47"/>
      <c r="P37" s="47"/>
      <c r="Q37" s="47"/>
    </row>
    <row r="38" spans="1:33">
      <c r="A38" s="50" t="s">
        <v>149</v>
      </c>
      <c r="B38" s="50"/>
      <c r="C38" s="50"/>
      <c r="D38" s="50"/>
      <c r="E38" s="50"/>
      <c r="F38" s="50"/>
      <c r="G38" s="50"/>
      <c r="H38" s="77"/>
      <c r="I38" s="51"/>
      <c r="J38" s="52"/>
      <c r="K38" s="53"/>
      <c r="L38" s="53"/>
      <c r="M38" s="53"/>
      <c r="N38" s="53"/>
      <c r="O38" s="53"/>
      <c r="P38" s="53"/>
      <c r="Q38" s="53"/>
    </row>
    <row r="39" spans="1:33" s="372" customFormat="1">
      <c r="A39" s="19" t="s">
        <v>26</v>
      </c>
      <c r="B39" s="19"/>
      <c r="C39" s="19"/>
      <c r="D39" s="19"/>
      <c r="E39" s="19"/>
      <c r="F39" s="19"/>
      <c r="G39" s="19"/>
      <c r="H39" s="82">
        <f>-I18/H17</f>
        <v>0.71455245885317342</v>
      </c>
      <c r="I39" s="82">
        <f t="shared" ref="I39:N39" si="40">-I18/I17</f>
        <v>0.52772229905342083</v>
      </c>
      <c r="J39" s="82">
        <f t="shared" si="40"/>
        <v>-7.2267646964375001E-2</v>
      </c>
      <c r="K39" s="82">
        <f t="shared" si="40"/>
        <v>-0.15727005715801698</v>
      </c>
      <c r="L39" s="82">
        <f t="shared" si="40"/>
        <v>0.12909174077911048</v>
      </c>
      <c r="M39" s="82">
        <f t="shared" si="40"/>
        <v>0.54310717714929224</v>
      </c>
      <c r="N39" s="82">
        <f t="shared" si="40"/>
        <v>9.3438368296938315E-2</v>
      </c>
      <c r="O39" s="82">
        <f t="shared" ref="O39:P39" si="41">-O18/O17</f>
        <v>0.27168570508086287</v>
      </c>
      <c r="P39" s="82">
        <f t="shared" si="41"/>
        <v>6.6801144908771898E-2</v>
      </c>
      <c r="Q39" s="82">
        <f t="shared" ref="Q39" si="42">-Q18/Q17</f>
        <v>4.1294757784612585E-2</v>
      </c>
    </row>
    <row r="40" spans="1:33" s="367" customFormat="1">
      <c r="A40" s="461" t="s">
        <v>6</v>
      </c>
      <c r="B40" s="365"/>
      <c r="C40" s="365"/>
      <c r="D40" s="365"/>
      <c r="E40" s="365"/>
      <c r="F40" s="365"/>
      <c r="G40" s="365"/>
      <c r="H40" s="21" t="str">
        <f t="shared" ref="H40:M40" si="43">H1</f>
        <v>Dec</v>
      </c>
      <c r="I40" s="21" t="str">
        <f t="shared" si="43"/>
        <v>Dec</v>
      </c>
      <c r="J40" s="33" t="str">
        <f t="shared" si="43"/>
        <v>Dec</v>
      </c>
      <c r="K40" s="21" t="str">
        <f t="shared" si="43"/>
        <v>Dec</v>
      </c>
      <c r="L40" s="21" t="str">
        <f t="shared" si="43"/>
        <v>Dec</v>
      </c>
      <c r="M40" s="21" t="str">
        <f t="shared" si="43"/>
        <v>Dec</v>
      </c>
      <c r="N40" s="21" t="str">
        <f t="shared" ref="N40" si="44">N1</f>
        <v>Dec</v>
      </c>
      <c r="O40" s="21" t="str">
        <f t="shared" ref="O40:P40" si="45">O1</f>
        <v>Dec</v>
      </c>
      <c r="P40" s="21" t="str">
        <f t="shared" si="45"/>
        <v>Dec</v>
      </c>
      <c r="Q40" s="21" t="str">
        <f t="shared" ref="Q40" si="46">Q1</f>
        <v>Dec</v>
      </c>
    </row>
    <row r="41" spans="1:33" s="367" customFormat="1">
      <c r="A41" s="461"/>
      <c r="B41" s="365"/>
      <c r="C41" s="365"/>
      <c r="D41" s="365"/>
      <c r="E41" s="365"/>
      <c r="F41" s="365"/>
      <c r="G41" s="365"/>
      <c r="H41" s="27">
        <f>H2</f>
        <v>2014</v>
      </c>
      <c r="I41" s="27">
        <f>I2</f>
        <v>2015</v>
      </c>
      <c r="J41" s="27">
        <f>J2</f>
        <v>2016</v>
      </c>
      <c r="K41" s="27">
        <f>K2</f>
        <v>2017</v>
      </c>
      <c r="L41" s="27">
        <f>L2</f>
        <v>2018</v>
      </c>
      <c r="M41" s="27">
        <v>2019</v>
      </c>
      <c r="N41" s="27">
        <v>2020</v>
      </c>
      <c r="O41" s="27">
        <v>2021</v>
      </c>
      <c r="P41" s="27">
        <v>2022</v>
      </c>
      <c r="Q41" s="27">
        <v>2023</v>
      </c>
    </row>
    <row r="42" spans="1:33">
      <c r="A42" s="38" t="s">
        <v>37</v>
      </c>
      <c r="B42" s="38"/>
      <c r="C42" s="38"/>
      <c r="D42" s="38"/>
      <c r="E42" s="38"/>
      <c r="F42" s="38"/>
      <c r="G42" s="38"/>
      <c r="H42" s="16">
        <v>11792693</v>
      </c>
      <c r="I42" s="16">
        <v>6004892</v>
      </c>
      <c r="J42" s="16">
        <v>6731970</v>
      </c>
      <c r="K42" s="16">
        <v>8727868</v>
      </c>
      <c r="L42" s="16">
        <v>53986552</v>
      </c>
      <c r="M42" s="16">
        <v>757571799</v>
      </c>
      <c r="N42" s="16">
        <v>1578414353</v>
      </c>
      <c r="O42" s="16">
        <v>7410742000</v>
      </c>
      <c r="P42" s="16">
        <v>19944208</v>
      </c>
      <c r="Q42" s="16">
        <v>23630406</v>
      </c>
    </row>
    <row r="43" spans="1:33">
      <c r="A43" s="38" t="s">
        <v>278</v>
      </c>
      <c r="B43" s="38"/>
      <c r="C43" s="38"/>
      <c r="D43" s="38"/>
      <c r="E43" s="38"/>
      <c r="F43" s="38"/>
      <c r="G43" s="38"/>
      <c r="H43" s="16"/>
      <c r="I43" s="16"/>
      <c r="J43" s="16"/>
      <c r="K43" s="16"/>
      <c r="L43" s="16"/>
      <c r="M43" s="16"/>
      <c r="N43" s="16"/>
      <c r="O43" s="16"/>
      <c r="P43" s="16"/>
      <c r="Q43" s="16"/>
    </row>
    <row r="44" spans="1:33">
      <c r="A44" s="38" t="s">
        <v>142</v>
      </c>
      <c r="B44" s="38"/>
      <c r="C44" s="38"/>
      <c r="D44" s="38"/>
      <c r="E44" s="38"/>
      <c r="F44" s="38"/>
      <c r="G44" s="38"/>
      <c r="H44" s="39">
        <v>4757307</v>
      </c>
      <c r="I44" s="16">
        <v>4485500</v>
      </c>
      <c r="J44" s="16">
        <v>4467500</v>
      </c>
      <c r="K44" s="16">
        <v>4616000</v>
      </c>
      <c r="L44" s="16">
        <v>28672278</v>
      </c>
      <c r="M44" s="16">
        <v>293417950</v>
      </c>
      <c r="N44" s="16">
        <v>648896890</v>
      </c>
      <c r="O44" s="16">
        <v>4920298000</v>
      </c>
      <c r="P44" s="16">
        <v>9802065</v>
      </c>
      <c r="Q44" s="16">
        <v>7800930</v>
      </c>
    </row>
    <row r="45" spans="1:33">
      <c r="A45" s="38" t="s">
        <v>279</v>
      </c>
      <c r="B45" s="38"/>
      <c r="C45" s="38"/>
      <c r="D45" s="38"/>
      <c r="E45" s="38"/>
      <c r="F45" s="38"/>
      <c r="G45" s="38"/>
      <c r="H45" s="39"/>
      <c r="I45" s="16"/>
      <c r="J45" s="16"/>
      <c r="K45" s="16"/>
      <c r="L45" s="16"/>
      <c r="M45" s="16"/>
      <c r="N45" s="16"/>
      <c r="O45" s="16"/>
      <c r="P45" s="16"/>
      <c r="Q45" s="16"/>
    </row>
    <row r="46" spans="1:33">
      <c r="A46" s="38" t="s">
        <v>404</v>
      </c>
      <c r="B46" s="38"/>
      <c r="C46" s="38"/>
      <c r="D46" s="38"/>
      <c r="E46" s="38"/>
      <c r="F46" s="38"/>
      <c r="G46" s="38"/>
      <c r="H46" s="39">
        <v>504</v>
      </c>
      <c r="I46" s="16">
        <v>678982</v>
      </c>
      <c r="J46" s="16">
        <v>1318567</v>
      </c>
      <c r="K46" s="16">
        <v>2146260</v>
      </c>
      <c r="L46" s="16">
        <v>17365368</v>
      </c>
      <c r="M46" s="16">
        <v>53629893</v>
      </c>
      <c r="N46" s="16">
        <v>260774263</v>
      </c>
      <c r="O46" s="16">
        <v>513456000</v>
      </c>
      <c r="P46" s="16">
        <v>215051</v>
      </c>
      <c r="Q46" s="16">
        <v>78304</v>
      </c>
    </row>
    <row r="47" spans="1:33">
      <c r="A47" s="86" t="s">
        <v>13</v>
      </c>
      <c r="B47" s="86"/>
      <c r="C47" s="86"/>
      <c r="D47" s="86"/>
      <c r="E47" s="86"/>
      <c r="F47" s="86"/>
      <c r="G47" s="86"/>
      <c r="H47" s="87">
        <f t="shared" ref="H47:M47" si="47">SUM(H42:H46)</f>
        <v>16550504</v>
      </c>
      <c r="I47" s="87">
        <f t="shared" si="47"/>
        <v>11169374</v>
      </c>
      <c r="J47" s="87">
        <f t="shared" si="47"/>
        <v>12518037</v>
      </c>
      <c r="K47" s="87">
        <f t="shared" si="47"/>
        <v>15490128</v>
      </c>
      <c r="L47" s="87">
        <f t="shared" si="47"/>
        <v>100024198</v>
      </c>
      <c r="M47" s="87">
        <f t="shared" si="47"/>
        <v>1104619642</v>
      </c>
      <c r="N47" s="87">
        <f t="shared" ref="N47" si="48">SUM(N42:N46)</f>
        <v>2488085506</v>
      </c>
      <c r="O47" s="87">
        <f t="shared" ref="O47:P47" si="49">SUM(O42:O46)</f>
        <v>12844496000</v>
      </c>
      <c r="P47" s="87">
        <f t="shared" si="49"/>
        <v>29961324</v>
      </c>
      <c r="Q47" s="87">
        <f t="shared" ref="Q47" si="50">SUM(Q42:Q46)</f>
        <v>31509640</v>
      </c>
      <c r="R47" s="371"/>
      <c r="S47" s="371">
        <f>SUM(S42:S46)</f>
        <v>0</v>
      </c>
      <c r="T47" s="371">
        <f>SUM(T42:T46)</f>
        <v>0</v>
      </c>
      <c r="U47" s="371">
        <f>SUM(U42:U46)</f>
        <v>0</v>
      </c>
    </row>
    <row r="48" spans="1:33">
      <c r="A48" s="43" t="s">
        <v>71</v>
      </c>
      <c r="B48" s="43"/>
      <c r="C48" s="43"/>
      <c r="D48" s="43"/>
      <c r="E48" s="43"/>
      <c r="F48" s="43"/>
      <c r="G48" s="43"/>
      <c r="H48" s="16"/>
      <c r="I48" s="16"/>
      <c r="J48" s="16"/>
      <c r="K48" s="16"/>
      <c r="L48" s="16"/>
      <c r="M48" s="16"/>
      <c r="N48" s="16"/>
      <c r="O48" s="16"/>
      <c r="P48" s="16"/>
      <c r="Q48" s="16"/>
    </row>
    <row r="49" spans="1:17">
      <c r="A49" s="38" t="s">
        <v>30</v>
      </c>
      <c r="B49" s="38"/>
      <c r="C49" s="38"/>
      <c r="D49" s="38"/>
      <c r="E49" s="38"/>
      <c r="F49" s="38"/>
      <c r="G49" s="38"/>
      <c r="H49" s="16">
        <v>5365107</v>
      </c>
      <c r="I49" s="16">
        <v>400472</v>
      </c>
      <c r="J49" s="16">
        <v>954819</v>
      </c>
      <c r="K49" s="16">
        <v>1200575</v>
      </c>
      <c r="L49" s="16">
        <v>10720948</v>
      </c>
      <c r="M49" s="16">
        <v>128694039</v>
      </c>
      <c r="N49" s="16">
        <v>189327333</v>
      </c>
      <c r="O49" s="16">
        <v>638045000</v>
      </c>
      <c r="P49" s="16">
        <v>507804</v>
      </c>
      <c r="Q49" s="16">
        <v>4580974</v>
      </c>
    </row>
    <row r="50" spans="1:17">
      <c r="A50" s="38" t="s">
        <v>397</v>
      </c>
      <c r="B50" s="38"/>
      <c r="C50" s="38"/>
      <c r="D50" s="38"/>
      <c r="E50" s="38"/>
      <c r="F50" s="38"/>
      <c r="G50" s="38"/>
      <c r="H50" s="16"/>
      <c r="I50" s="16"/>
      <c r="J50" s="16"/>
      <c r="K50" s="16"/>
      <c r="L50" s="16"/>
      <c r="M50" s="16"/>
      <c r="N50" s="16"/>
      <c r="O50" s="16"/>
      <c r="P50" s="16"/>
      <c r="Q50" s="16"/>
    </row>
    <row r="51" spans="1:17">
      <c r="A51" s="38" t="s">
        <v>38</v>
      </c>
      <c r="B51" s="38"/>
      <c r="C51" s="38"/>
      <c r="D51" s="38"/>
      <c r="E51" s="38"/>
      <c r="F51" s="38"/>
      <c r="G51" s="38"/>
      <c r="H51" s="39"/>
      <c r="I51" s="16">
        <v>1957829</v>
      </c>
      <c r="J51" s="16">
        <v>3579559</v>
      </c>
      <c r="K51" s="16">
        <v>5372084</v>
      </c>
      <c r="L51" s="16"/>
      <c r="M51" s="16"/>
      <c r="N51" s="16"/>
      <c r="O51" s="16"/>
      <c r="P51" s="16"/>
      <c r="Q51" s="16"/>
    </row>
    <row r="52" spans="1:17">
      <c r="A52" s="38" t="s">
        <v>405</v>
      </c>
      <c r="B52" s="38"/>
      <c r="C52" s="38"/>
      <c r="D52" s="38"/>
      <c r="E52" s="38"/>
      <c r="F52" s="38"/>
      <c r="G52" s="38"/>
      <c r="H52" s="39">
        <v>10271933</v>
      </c>
      <c r="I52" s="16">
        <v>5095397</v>
      </c>
      <c r="J52" s="16">
        <v>6545933</v>
      </c>
      <c r="K52" s="16">
        <v>9734620</v>
      </c>
      <c r="L52" s="16">
        <v>126450215</v>
      </c>
      <c r="M52" s="16">
        <v>773546605</v>
      </c>
      <c r="N52" s="16">
        <v>4394659753</v>
      </c>
      <c r="O52" s="16">
        <v>19667116000</v>
      </c>
      <c r="P52" s="16">
        <v>31279656</v>
      </c>
      <c r="Q52" s="16">
        <v>46962352</v>
      </c>
    </row>
    <row r="53" spans="1:17">
      <c r="A53" s="38" t="s">
        <v>398</v>
      </c>
      <c r="B53" s="38"/>
      <c r="C53" s="38"/>
      <c r="D53" s="38"/>
      <c r="E53" s="38"/>
      <c r="F53" s="38"/>
      <c r="G53" s="38"/>
      <c r="H53" s="39"/>
      <c r="I53" s="16">
        <v>1620000</v>
      </c>
      <c r="J53" s="16"/>
      <c r="K53" s="16"/>
      <c r="L53" s="16"/>
      <c r="M53" s="16"/>
      <c r="N53" s="16"/>
      <c r="O53" s="16"/>
      <c r="P53" s="16"/>
      <c r="Q53" s="16"/>
    </row>
    <row r="54" spans="1:17">
      <c r="A54" s="38" t="s">
        <v>143</v>
      </c>
      <c r="B54" s="38"/>
      <c r="C54" s="38"/>
      <c r="D54" s="38"/>
      <c r="E54" s="38"/>
      <c r="F54" s="38"/>
      <c r="G54" s="38"/>
      <c r="H54" s="16">
        <v>52498</v>
      </c>
      <c r="I54" s="16">
        <v>63708</v>
      </c>
      <c r="J54" s="16">
        <v>63802</v>
      </c>
      <c r="K54" s="16">
        <v>63802</v>
      </c>
      <c r="L54" s="16">
        <v>488093</v>
      </c>
      <c r="M54" s="16"/>
      <c r="N54" s="16"/>
      <c r="O54" s="16"/>
      <c r="P54" s="16"/>
      <c r="Q54" s="16"/>
    </row>
    <row r="55" spans="1:17">
      <c r="A55" s="38" t="s">
        <v>15</v>
      </c>
      <c r="B55" s="38"/>
      <c r="C55" s="38"/>
      <c r="D55" s="38"/>
      <c r="E55" s="38"/>
      <c r="F55" s="38"/>
      <c r="G55" s="38"/>
      <c r="H55" s="16">
        <v>1729139</v>
      </c>
      <c r="I55" s="16">
        <v>737173</v>
      </c>
      <c r="J55" s="16">
        <v>780267</v>
      </c>
      <c r="K55" s="16">
        <v>1294967</v>
      </c>
      <c r="L55" s="16">
        <v>23534630</v>
      </c>
      <c r="M55" s="16">
        <v>53049371</v>
      </c>
      <c r="N55" s="16">
        <v>382425791</v>
      </c>
      <c r="O55" s="16">
        <v>6048304000</v>
      </c>
      <c r="P55" s="16">
        <v>1538014</v>
      </c>
      <c r="Q55" s="16">
        <v>2731700</v>
      </c>
    </row>
    <row r="56" spans="1:17">
      <c r="A56" s="38" t="s">
        <v>399</v>
      </c>
      <c r="B56" s="38"/>
      <c r="C56" s="38"/>
      <c r="D56" s="38"/>
      <c r="E56" s="38"/>
      <c r="F56" s="38"/>
      <c r="G56" s="38"/>
      <c r="H56" s="16"/>
      <c r="I56" s="16"/>
      <c r="J56" s="16"/>
      <c r="K56" s="16"/>
      <c r="L56" s="16"/>
      <c r="M56" s="16"/>
      <c r="N56" s="16"/>
      <c r="O56" s="16"/>
      <c r="P56" s="16"/>
      <c r="Q56" s="16"/>
    </row>
    <row r="57" spans="1:17">
      <c r="A57" s="38" t="s">
        <v>147</v>
      </c>
      <c r="B57" s="38"/>
      <c r="C57" s="38"/>
      <c r="D57" s="38"/>
      <c r="E57" s="38"/>
      <c r="F57" s="38"/>
      <c r="G57" s="38"/>
      <c r="H57" s="16"/>
      <c r="I57" s="16"/>
      <c r="J57" s="16"/>
      <c r="K57" s="16"/>
      <c r="L57" s="16"/>
      <c r="M57" s="16"/>
      <c r="N57" s="16"/>
      <c r="O57" s="16"/>
      <c r="P57" s="16"/>
      <c r="Q57" s="16"/>
    </row>
    <row r="58" spans="1:17" s="372" customFormat="1" ht="12.6" thickBot="1">
      <c r="A58" s="88" t="s">
        <v>14</v>
      </c>
      <c r="B58" s="88"/>
      <c r="C58" s="88"/>
      <c r="D58" s="88"/>
      <c r="E58" s="88"/>
      <c r="F58" s="88"/>
      <c r="G58" s="88"/>
      <c r="H58" s="89">
        <f t="shared" ref="H58:M58" si="51">SUM(H49:H57)</f>
        <v>17418677</v>
      </c>
      <c r="I58" s="89">
        <f t="shared" si="51"/>
        <v>9874579</v>
      </c>
      <c r="J58" s="89">
        <f t="shared" si="51"/>
        <v>11924380</v>
      </c>
      <c r="K58" s="89">
        <f t="shared" si="51"/>
        <v>17666048</v>
      </c>
      <c r="L58" s="89">
        <f t="shared" si="51"/>
        <v>161193886</v>
      </c>
      <c r="M58" s="89">
        <f t="shared" si="51"/>
        <v>955290015</v>
      </c>
      <c r="N58" s="89">
        <f t="shared" ref="N58" si="52">SUM(N49:N57)</f>
        <v>4966412877</v>
      </c>
      <c r="O58" s="89">
        <f t="shared" ref="O58:P58" si="53">SUM(O49:O57)</f>
        <v>26353465000</v>
      </c>
      <c r="P58" s="89">
        <f t="shared" si="53"/>
        <v>33325474</v>
      </c>
      <c r="Q58" s="89">
        <f t="shared" ref="Q58" si="54">SUM(Q49:Q57)</f>
        <v>54275026</v>
      </c>
    </row>
    <row r="59" spans="1:17" s="372" customFormat="1" ht="12.6" thickTop="1">
      <c r="A59" s="43" t="s">
        <v>98</v>
      </c>
      <c r="B59" s="43"/>
      <c r="C59" s="43"/>
      <c r="D59" s="43"/>
      <c r="E59" s="43"/>
      <c r="F59" s="43"/>
      <c r="G59" s="43"/>
      <c r="H59" s="85"/>
      <c r="I59" s="85"/>
      <c r="J59" s="85"/>
      <c r="K59" s="85"/>
      <c r="L59" s="85"/>
      <c r="M59" s="85"/>
      <c r="N59" s="85"/>
      <c r="O59" s="85"/>
      <c r="P59" s="85"/>
      <c r="Q59" s="85"/>
    </row>
    <row r="60" spans="1:17" s="372" customFormat="1" ht="12.6" customHeight="1">
      <c r="A60" s="43" t="s">
        <v>7</v>
      </c>
      <c r="B60" s="43"/>
      <c r="C60" s="43"/>
      <c r="D60" s="43"/>
      <c r="E60" s="43"/>
      <c r="F60" s="43"/>
      <c r="G60" s="43"/>
      <c r="H60" s="85">
        <f t="shared" ref="H60:M60" si="55">H58+H47</f>
        <v>33969181</v>
      </c>
      <c r="I60" s="85">
        <f t="shared" si="55"/>
        <v>21043953</v>
      </c>
      <c r="J60" s="85">
        <f t="shared" si="55"/>
        <v>24442417</v>
      </c>
      <c r="K60" s="85">
        <f t="shared" si="55"/>
        <v>33156176</v>
      </c>
      <c r="L60" s="85">
        <f t="shared" si="55"/>
        <v>261218084</v>
      </c>
      <c r="M60" s="85">
        <f t="shared" si="55"/>
        <v>2059909657</v>
      </c>
      <c r="N60" s="85">
        <f t="shared" ref="N60" si="56">N58+N47</f>
        <v>7454498383</v>
      </c>
      <c r="O60" s="85">
        <f t="shared" ref="O60:P60" si="57">O58+O47</f>
        <v>39197961000</v>
      </c>
      <c r="P60" s="85">
        <f t="shared" si="57"/>
        <v>63286798</v>
      </c>
      <c r="Q60" s="85">
        <f t="shared" ref="Q60" si="58">Q58+Q47</f>
        <v>85784666</v>
      </c>
    </row>
    <row r="61" spans="1:17" ht="12.6" customHeight="1">
      <c r="A61" s="43" t="s">
        <v>114</v>
      </c>
      <c r="B61" s="43"/>
      <c r="C61" s="43"/>
      <c r="D61" s="43"/>
      <c r="E61" s="43"/>
      <c r="F61" s="43"/>
      <c r="G61" s="43"/>
      <c r="H61" s="16"/>
      <c r="I61" s="16"/>
      <c r="J61" s="16"/>
      <c r="K61" s="16"/>
      <c r="L61" s="16"/>
      <c r="M61" s="16"/>
      <c r="N61" s="16"/>
      <c r="O61" s="16"/>
      <c r="P61" s="16"/>
      <c r="Q61" s="16"/>
    </row>
    <row r="62" spans="1:17">
      <c r="A62" s="38" t="s">
        <v>16</v>
      </c>
      <c r="B62" s="38"/>
      <c r="C62" s="38"/>
      <c r="D62" s="38"/>
      <c r="E62" s="38"/>
      <c r="F62" s="38"/>
      <c r="G62" s="38"/>
      <c r="H62" s="16">
        <v>2204937</v>
      </c>
      <c r="I62" s="16">
        <v>2204937</v>
      </c>
      <c r="J62" s="16">
        <v>2204937</v>
      </c>
      <c r="K62" s="16">
        <v>2320199</v>
      </c>
      <c r="L62" s="16">
        <v>14484122</v>
      </c>
      <c r="M62" s="16">
        <v>65365057</v>
      </c>
      <c r="N62" s="16">
        <v>105067494</v>
      </c>
      <c r="O62" s="16">
        <v>361180000</v>
      </c>
      <c r="P62" s="16">
        <v>2338831</v>
      </c>
      <c r="Q62" s="16">
        <v>2316175</v>
      </c>
    </row>
    <row r="63" spans="1:17">
      <c r="A63" s="38" t="s">
        <v>96</v>
      </c>
      <c r="B63" s="38"/>
      <c r="C63" s="38"/>
      <c r="D63" s="38"/>
      <c r="E63" s="38"/>
      <c r="F63" s="38"/>
      <c r="G63" s="38"/>
      <c r="H63" s="16">
        <v>260063</v>
      </c>
      <c r="I63" s="16">
        <v>260063</v>
      </c>
      <c r="J63" s="16">
        <v>260063</v>
      </c>
      <c r="K63" s="16">
        <v>402987</v>
      </c>
      <c r="L63" s="16">
        <v>2518315</v>
      </c>
      <c r="M63" s="16">
        <v>24603941</v>
      </c>
      <c r="N63" s="16">
        <v>39548262</v>
      </c>
      <c r="O63" s="16">
        <v>135951000</v>
      </c>
      <c r="P63" s="16">
        <v>455177</v>
      </c>
      <c r="Q63" s="16">
        <v>455177</v>
      </c>
    </row>
    <row r="64" spans="1:17" ht="13.5" customHeight="1">
      <c r="A64" s="38" t="s">
        <v>280</v>
      </c>
      <c r="B64" s="38"/>
      <c r="C64" s="38"/>
      <c r="D64" s="38"/>
      <c r="E64" s="38"/>
      <c r="F64" s="38"/>
      <c r="G64" s="38"/>
      <c r="H64" s="16">
        <v>17647053</v>
      </c>
      <c r="I64" s="16">
        <v>8106081</v>
      </c>
      <c r="J64" s="16">
        <v>8396930</v>
      </c>
      <c r="K64" s="16">
        <v>9475558</v>
      </c>
      <c r="L64" s="16">
        <v>56360795</v>
      </c>
      <c r="M64" s="16">
        <v>811142938</v>
      </c>
      <c r="N64" s="16">
        <v>1583471993</v>
      </c>
      <c r="O64" s="16">
        <v>4910879000</v>
      </c>
      <c r="P64" s="16">
        <v>8347992</v>
      </c>
      <c r="Q64" s="16">
        <v>7426896</v>
      </c>
    </row>
    <row r="65" spans="1:25">
      <c r="A65" s="38" t="s">
        <v>281</v>
      </c>
      <c r="B65" s="38"/>
      <c r="C65" s="38"/>
      <c r="D65" s="38"/>
      <c r="E65" s="38"/>
      <c r="F65" s="38"/>
      <c r="G65" s="38"/>
      <c r="H65" s="39"/>
      <c r="I65" s="16"/>
      <c r="J65" s="16"/>
      <c r="K65" s="16"/>
      <c r="L65" s="16"/>
      <c r="M65" s="4"/>
      <c r="N65" s="4"/>
      <c r="O65" s="4"/>
      <c r="P65" s="4"/>
      <c r="Q65" s="4"/>
    </row>
    <row r="66" spans="1:25">
      <c r="A66" s="38" t="s">
        <v>156</v>
      </c>
      <c r="B66" s="38"/>
      <c r="C66" s="38"/>
      <c r="D66" s="38"/>
      <c r="E66" s="38"/>
      <c r="F66" s="38"/>
      <c r="G66" s="38"/>
      <c r="H66" s="39"/>
      <c r="I66" s="16"/>
      <c r="J66" s="16"/>
      <c r="K66" s="16"/>
      <c r="L66" s="4"/>
      <c r="M66" s="4"/>
      <c r="N66" s="4"/>
      <c r="O66" s="4"/>
      <c r="P66" s="4"/>
      <c r="Q66" s="4"/>
    </row>
    <row r="67" spans="1:25">
      <c r="A67" s="38" t="s">
        <v>282</v>
      </c>
      <c r="B67" s="38"/>
      <c r="C67" s="38"/>
      <c r="D67" s="38"/>
      <c r="E67" s="38"/>
      <c r="F67" s="38"/>
      <c r="G67" s="38"/>
      <c r="H67" s="16"/>
      <c r="I67" s="16">
        <v>1219581</v>
      </c>
      <c r="J67" s="16">
        <v>1449613</v>
      </c>
      <c r="K67" s="16"/>
      <c r="L67" s="4"/>
      <c r="M67" s="4"/>
      <c r="N67" s="4"/>
      <c r="O67" s="4"/>
      <c r="P67" s="4"/>
      <c r="Q67" s="4"/>
    </row>
    <row r="68" spans="1:25">
      <c r="A68" s="38" t="s">
        <v>400</v>
      </c>
      <c r="B68" s="38"/>
      <c r="C68" s="38"/>
      <c r="D68" s="38"/>
      <c r="E68" s="38"/>
      <c r="F68" s="38"/>
      <c r="G68" s="38"/>
      <c r="H68" s="16"/>
      <c r="I68" s="16"/>
      <c r="J68" s="16"/>
      <c r="K68" s="16">
        <v>1839661</v>
      </c>
      <c r="L68" s="16">
        <v>29432341</v>
      </c>
      <c r="M68" s="16">
        <v>261617989</v>
      </c>
      <c r="N68" s="16">
        <v>946761905</v>
      </c>
      <c r="O68" s="16">
        <v>6142061000</v>
      </c>
      <c r="P68" s="16">
        <v>18782703</v>
      </c>
      <c r="Q68" s="16">
        <v>14028887</v>
      </c>
    </row>
    <row r="69" spans="1:25" ht="14.4" customHeight="1">
      <c r="A69" s="38" t="s">
        <v>19</v>
      </c>
      <c r="B69" s="38"/>
      <c r="C69" s="38"/>
      <c r="D69" s="38"/>
      <c r="E69" s="38"/>
      <c r="F69" s="38"/>
      <c r="G69" s="38"/>
      <c r="H69" s="41">
        <f t="shared" ref="H69:Y69" si="59">SUM(H62:H68)</f>
        <v>20112053</v>
      </c>
      <c r="I69" s="41">
        <f t="shared" si="59"/>
        <v>11790662</v>
      </c>
      <c r="J69" s="41">
        <f t="shared" si="59"/>
        <v>12311543</v>
      </c>
      <c r="K69" s="41">
        <f t="shared" si="59"/>
        <v>14038405</v>
      </c>
      <c r="L69" s="41">
        <f t="shared" si="59"/>
        <v>102795573</v>
      </c>
      <c r="M69" s="41">
        <f t="shared" si="59"/>
        <v>1162729925</v>
      </c>
      <c r="N69" s="41">
        <f t="shared" ref="N69" si="60">SUM(N62:N68)</f>
        <v>2674849654</v>
      </c>
      <c r="O69" s="41">
        <f t="shared" ref="O69:P69" si="61">SUM(O62:O68)</f>
        <v>11550071000</v>
      </c>
      <c r="P69" s="41">
        <f t="shared" si="61"/>
        <v>29924703</v>
      </c>
      <c r="Q69" s="41">
        <f t="shared" ref="Q69" si="62">SUM(Q62:Q68)</f>
        <v>24227135</v>
      </c>
      <c r="R69" s="371">
        <f t="shared" si="59"/>
        <v>0</v>
      </c>
      <c r="S69" s="371">
        <f t="shared" si="59"/>
        <v>0</v>
      </c>
      <c r="T69" s="371">
        <f t="shared" si="59"/>
        <v>0</v>
      </c>
      <c r="U69" s="371">
        <f t="shared" si="59"/>
        <v>0</v>
      </c>
      <c r="V69" s="371">
        <f t="shared" si="59"/>
        <v>0</v>
      </c>
      <c r="W69" s="371">
        <f t="shared" si="59"/>
        <v>0</v>
      </c>
      <c r="X69" s="371">
        <f t="shared" si="59"/>
        <v>0</v>
      </c>
      <c r="Y69" s="371">
        <f t="shared" si="59"/>
        <v>0</v>
      </c>
    </row>
    <row r="70" spans="1:25">
      <c r="A70" s="38" t="s">
        <v>20</v>
      </c>
      <c r="B70" s="38"/>
      <c r="C70" s="38"/>
      <c r="D70" s="38"/>
      <c r="E70" s="38"/>
      <c r="F70" s="38"/>
      <c r="G70" s="38"/>
      <c r="H70" s="5"/>
      <c r="I70" s="5"/>
      <c r="J70" s="5"/>
      <c r="K70" s="5"/>
      <c r="L70" s="5"/>
      <c r="M70" s="5"/>
      <c r="N70" s="5"/>
      <c r="O70" s="5"/>
      <c r="P70" s="5"/>
      <c r="Q70" s="5"/>
    </row>
    <row r="71" spans="1:25">
      <c r="A71" s="90" t="s">
        <v>21</v>
      </c>
      <c r="B71" s="90"/>
      <c r="C71" s="90"/>
      <c r="D71" s="90"/>
      <c r="E71" s="90"/>
      <c r="F71" s="90"/>
      <c r="G71" s="90"/>
      <c r="H71" s="91">
        <f t="shared" ref="H71:I71" si="63">H69+H70</f>
        <v>20112053</v>
      </c>
      <c r="I71" s="91">
        <f t="shared" si="63"/>
        <v>11790662</v>
      </c>
      <c r="J71" s="91">
        <f t="shared" ref="J71:O71" si="64">J69+J70</f>
        <v>12311543</v>
      </c>
      <c r="K71" s="91">
        <f t="shared" si="64"/>
        <v>14038405</v>
      </c>
      <c r="L71" s="91">
        <f t="shared" si="64"/>
        <v>102795573</v>
      </c>
      <c r="M71" s="91">
        <f t="shared" si="64"/>
        <v>1162729925</v>
      </c>
      <c r="N71" s="91">
        <f t="shared" si="64"/>
        <v>2674849654</v>
      </c>
      <c r="O71" s="91">
        <f t="shared" si="64"/>
        <v>11550071000</v>
      </c>
      <c r="P71" s="91">
        <f t="shared" ref="P71:Q71" si="65">P69+P70</f>
        <v>29924703</v>
      </c>
      <c r="Q71" s="91">
        <f t="shared" si="65"/>
        <v>24227135</v>
      </c>
    </row>
    <row r="72" spans="1:25">
      <c r="A72" s="43"/>
      <c r="B72" s="43"/>
      <c r="C72" s="43"/>
      <c r="D72" s="43"/>
      <c r="E72" s="43"/>
      <c r="F72" s="43"/>
      <c r="G72" s="43"/>
      <c r="H72" s="16"/>
      <c r="I72" s="16"/>
      <c r="J72" s="16"/>
      <c r="K72" s="16"/>
      <c r="L72" s="16"/>
      <c r="M72" s="16"/>
      <c r="N72" s="16"/>
      <c r="O72" s="16"/>
      <c r="P72" s="16"/>
      <c r="Q72" s="16"/>
    </row>
    <row r="73" spans="1:25">
      <c r="A73" s="38" t="s">
        <v>17</v>
      </c>
      <c r="B73" s="38"/>
      <c r="C73" s="38"/>
      <c r="D73" s="38"/>
      <c r="E73" s="38"/>
      <c r="F73" s="38"/>
      <c r="G73" s="38"/>
      <c r="H73" s="16">
        <v>2406933</v>
      </c>
      <c r="I73" s="16">
        <v>1063765</v>
      </c>
      <c r="J73" s="16">
        <v>1250731</v>
      </c>
      <c r="K73" s="16">
        <v>1778972</v>
      </c>
      <c r="L73" s="16">
        <v>14363279</v>
      </c>
      <c r="M73" s="16">
        <v>247406937</v>
      </c>
      <c r="N73" s="16">
        <v>504115516</v>
      </c>
      <c r="O73" s="16">
        <v>3029134000</v>
      </c>
      <c r="P73" s="16">
        <v>7556664</v>
      </c>
      <c r="Q73" s="16">
        <v>7861646</v>
      </c>
    </row>
    <row r="74" spans="1:25">
      <c r="A74" s="38" t="s">
        <v>152</v>
      </c>
      <c r="B74" s="38"/>
      <c r="C74" s="38"/>
      <c r="D74" s="38"/>
      <c r="E74" s="38"/>
      <c r="F74" s="38"/>
      <c r="G74" s="38"/>
      <c r="H74" s="16"/>
      <c r="I74" s="16"/>
      <c r="J74" s="16"/>
      <c r="K74" s="16"/>
      <c r="L74" s="16"/>
      <c r="M74" s="16"/>
      <c r="N74" s="16"/>
      <c r="O74" s="16"/>
      <c r="P74" s="16"/>
      <c r="Q74" s="16"/>
    </row>
    <row r="75" spans="1:25">
      <c r="A75" s="38" t="s">
        <v>406</v>
      </c>
      <c r="B75" s="38"/>
      <c r="C75" s="38"/>
      <c r="D75" s="38"/>
      <c r="E75" s="38"/>
      <c r="F75" s="38"/>
      <c r="G75" s="38"/>
      <c r="H75" s="16"/>
      <c r="I75" s="16"/>
      <c r="J75" s="16"/>
      <c r="K75" s="16">
        <v>499130</v>
      </c>
      <c r="L75" s="16">
        <v>2575946</v>
      </c>
      <c r="M75" s="16">
        <v>1123366</v>
      </c>
      <c r="N75" s="16"/>
      <c r="O75" s="16"/>
      <c r="P75" s="16"/>
      <c r="Q75" s="16"/>
    </row>
    <row r="76" spans="1:25">
      <c r="A76" s="38" t="s">
        <v>95</v>
      </c>
      <c r="B76" s="38"/>
      <c r="C76" s="38"/>
      <c r="D76" s="38"/>
      <c r="E76" s="38"/>
      <c r="F76" s="38"/>
      <c r="G76" s="38"/>
      <c r="H76" s="39">
        <v>416667</v>
      </c>
      <c r="I76" s="39">
        <v>222268</v>
      </c>
      <c r="J76" s="39">
        <v>315567</v>
      </c>
      <c r="K76" s="16">
        <v>910000</v>
      </c>
      <c r="L76" s="16">
        <v>1242300</v>
      </c>
      <c r="M76" s="39">
        <v>10311067</v>
      </c>
      <c r="N76" s="39">
        <v>40379961</v>
      </c>
      <c r="O76" s="39"/>
      <c r="P76" s="39"/>
      <c r="Q76" s="39"/>
    </row>
    <row r="77" spans="1:25" s="372" customFormat="1">
      <c r="A77" s="90" t="s">
        <v>18</v>
      </c>
      <c r="B77" s="90"/>
      <c r="C77" s="90"/>
      <c r="D77" s="90"/>
      <c r="E77" s="90"/>
      <c r="F77" s="90"/>
      <c r="G77" s="90"/>
      <c r="H77" s="91">
        <f t="shared" ref="H77:Y77" si="66">SUM(H73:H76)</f>
        <v>2823600</v>
      </c>
      <c r="I77" s="91">
        <f t="shared" si="66"/>
        <v>1286033</v>
      </c>
      <c r="J77" s="91">
        <f t="shared" si="66"/>
        <v>1566298</v>
      </c>
      <c r="K77" s="91">
        <f>SUM(K73:K76)</f>
        <v>3188102</v>
      </c>
      <c r="L77" s="91">
        <f t="shared" si="66"/>
        <v>18181525</v>
      </c>
      <c r="M77" s="91">
        <f t="shared" si="66"/>
        <v>258841370</v>
      </c>
      <c r="N77" s="91">
        <f t="shared" ref="N77" si="67">SUM(N73:N76)</f>
        <v>544495477</v>
      </c>
      <c r="O77" s="91">
        <f t="shared" ref="O77:P77" si="68">SUM(O73:O76)</f>
        <v>3029134000</v>
      </c>
      <c r="P77" s="91">
        <f t="shared" si="68"/>
        <v>7556664</v>
      </c>
      <c r="Q77" s="91">
        <f t="shared" ref="Q77" si="69">SUM(Q73:Q76)</f>
        <v>7861646</v>
      </c>
      <c r="R77" s="371">
        <f t="shared" si="66"/>
        <v>0</v>
      </c>
      <c r="S77" s="371">
        <f t="shared" si="66"/>
        <v>0</v>
      </c>
      <c r="T77" s="371">
        <f t="shared" si="66"/>
        <v>0</v>
      </c>
      <c r="U77" s="371">
        <f t="shared" si="66"/>
        <v>0</v>
      </c>
      <c r="V77" s="371">
        <f t="shared" si="66"/>
        <v>0</v>
      </c>
      <c r="W77" s="371">
        <f t="shared" si="66"/>
        <v>0</v>
      </c>
      <c r="X77" s="371">
        <f t="shared" si="66"/>
        <v>0</v>
      </c>
      <c r="Y77" s="371">
        <f t="shared" si="66"/>
        <v>0</v>
      </c>
    </row>
    <row r="78" spans="1:25" s="372" customFormat="1">
      <c r="A78" s="43" t="s">
        <v>40</v>
      </c>
      <c r="B78" s="43"/>
      <c r="C78" s="43"/>
      <c r="D78" s="43"/>
      <c r="E78" s="43"/>
      <c r="F78" s="43"/>
      <c r="G78" s="43"/>
      <c r="H78" s="42"/>
      <c r="I78" s="42"/>
      <c r="J78" s="42"/>
      <c r="K78" s="42"/>
      <c r="L78" s="42"/>
      <c r="M78" s="42"/>
      <c r="N78" s="42"/>
      <c r="O78" s="42"/>
      <c r="P78" s="42"/>
      <c r="Q78" s="42"/>
    </row>
    <row r="79" spans="1:25" s="372" customFormat="1">
      <c r="A79" s="38" t="s">
        <v>97</v>
      </c>
      <c r="B79" s="38"/>
      <c r="C79" s="38"/>
      <c r="D79" s="38"/>
      <c r="E79" s="38"/>
      <c r="F79" s="38"/>
      <c r="G79" s="38"/>
      <c r="H79" s="39"/>
      <c r="I79" s="42"/>
      <c r="J79" s="16"/>
      <c r="K79" s="16"/>
      <c r="L79" s="42"/>
      <c r="M79" s="42"/>
      <c r="N79" s="42"/>
      <c r="O79" s="42"/>
      <c r="P79" s="42"/>
      <c r="Q79" s="42"/>
    </row>
    <row r="80" spans="1:25">
      <c r="A80" s="38" t="s">
        <v>283</v>
      </c>
      <c r="B80" s="38"/>
      <c r="C80" s="38"/>
      <c r="D80" s="38"/>
      <c r="E80" s="38"/>
      <c r="F80" s="38"/>
      <c r="G80" s="38"/>
      <c r="H80" s="16"/>
      <c r="I80" s="16"/>
      <c r="J80" s="16"/>
      <c r="K80" s="16"/>
      <c r="L80" s="16"/>
      <c r="M80" s="16"/>
      <c r="N80" s="16"/>
      <c r="O80" s="16"/>
      <c r="P80" s="16"/>
      <c r="Q80" s="16"/>
    </row>
    <row r="81" spans="1:29">
      <c r="A81" s="38" t="s">
        <v>95</v>
      </c>
      <c r="B81" s="38"/>
      <c r="C81" s="38"/>
      <c r="D81" s="38"/>
      <c r="E81" s="38"/>
      <c r="F81" s="38"/>
      <c r="G81" s="38"/>
      <c r="H81" s="16">
        <v>1166667</v>
      </c>
      <c r="I81" s="16">
        <v>222267</v>
      </c>
      <c r="J81" s="16">
        <v>390267</v>
      </c>
      <c r="K81" s="16">
        <v>205853</v>
      </c>
      <c r="L81" s="16">
        <v>4005528</v>
      </c>
      <c r="M81" s="16">
        <v>8896062</v>
      </c>
      <c r="N81" s="16">
        <v>167359291</v>
      </c>
      <c r="O81" s="16">
        <v>1138874000</v>
      </c>
      <c r="P81" s="16">
        <v>456160</v>
      </c>
      <c r="Q81" s="16">
        <v>1880547</v>
      </c>
    </row>
    <row r="82" spans="1:29">
      <c r="A82" s="38" t="s">
        <v>39</v>
      </c>
      <c r="B82" s="38"/>
      <c r="C82" s="38"/>
      <c r="D82" s="38"/>
      <c r="E82" s="38"/>
      <c r="F82" s="38"/>
      <c r="G82" s="38"/>
      <c r="H82" s="16">
        <v>9866861</v>
      </c>
      <c r="I82" s="16">
        <v>4955445</v>
      </c>
      <c r="J82" s="16">
        <v>8125280</v>
      </c>
      <c r="K82" s="16">
        <v>13154104</v>
      </c>
      <c r="L82" s="16">
        <v>133049519</v>
      </c>
      <c r="M82" s="16">
        <v>628624856</v>
      </c>
      <c r="N82" s="16">
        <v>4067726978</v>
      </c>
      <c r="O82" s="16">
        <v>23479882000</v>
      </c>
      <c r="P82" s="16">
        <v>25349271</v>
      </c>
      <c r="Q82" s="16">
        <v>51815338</v>
      </c>
    </row>
    <row r="83" spans="1:29">
      <c r="A83" s="38" t="s">
        <v>406</v>
      </c>
      <c r="B83" s="38"/>
      <c r="C83" s="38"/>
      <c r="D83" s="38"/>
      <c r="E83" s="38"/>
      <c r="F83" s="38"/>
      <c r="G83" s="38"/>
      <c r="H83" s="16"/>
      <c r="I83" s="16"/>
      <c r="J83" s="16"/>
      <c r="K83" s="16">
        <v>284142</v>
      </c>
      <c r="L83" s="16">
        <v>3185939</v>
      </c>
      <c r="M83" s="16">
        <v>817444</v>
      </c>
      <c r="N83" s="16">
        <v>66983</v>
      </c>
      <c r="O83" s="16"/>
      <c r="P83" s="16"/>
      <c r="Q83" s="16"/>
    </row>
    <row r="84" spans="1:29">
      <c r="A84" s="38" t="s">
        <v>407</v>
      </c>
      <c r="B84" s="38"/>
      <c r="C84" s="38"/>
      <c r="D84" s="38"/>
      <c r="E84" s="38"/>
      <c r="F84" s="38"/>
      <c r="G84" s="38"/>
      <c r="H84" s="16"/>
      <c r="I84" s="16">
        <v>2789546</v>
      </c>
      <c r="J84" s="16">
        <v>2049029</v>
      </c>
      <c r="K84" s="16">
        <v>2285570</v>
      </c>
      <c r="L84" s="16"/>
      <c r="M84" s="16"/>
      <c r="N84" s="16"/>
      <c r="O84" s="16"/>
      <c r="P84" s="16"/>
      <c r="Q84" s="16"/>
    </row>
    <row r="85" spans="1:29" s="372" customFormat="1" ht="13.5" customHeight="1">
      <c r="A85" s="38" t="s">
        <v>115</v>
      </c>
      <c r="B85" s="38"/>
      <c r="C85" s="38"/>
      <c r="D85" s="38"/>
      <c r="E85" s="38"/>
      <c r="F85" s="38"/>
      <c r="G85" s="38"/>
      <c r="H85" s="56"/>
      <c r="I85" s="56"/>
      <c r="J85" s="56"/>
      <c r="K85" s="56"/>
      <c r="L85" s="56"/>
      <c r="M85" s="56"/>
      <c r="N85" s="56"/>
      <c r="O85" s="56"/>
      <c r="P85" s="56"/>
      <c r="Q85" s="56"/>
    </row>
    <row r="86" spans="1:29" s="372" customFormat="1">
      <c r="A86" s="90" t="s">
        <v>22</v>
      </c>
      <c r="B86" s="90"/>
      <c r="C86" s="90"/>
      <c r="D86" s="90"/>
      <c r="E86" s="90"/>
      <c r="F86" s="90"/>
      <c r="G86" s="90"/>
      <c r="H86" s="91">
        <f>SUM(H78:H84)</f>
        <v>11033528</v>
      </c>
      <c r="I86" s="91">
        <f>SUM(I78:I85)</f>
        <v>7967258</v>
      </c>
      <c r="J86" s="91">
        <f>SUM(J79:J85)</f>
        <v>10564576</v>
      </c>
      <c r="K86" s="91">
        <f>SUM(K79:K85)</f>
        <v>15929669</v>
      </c>
      <c r="L86" s="91">
        <f>SUM(L78:L84)</f>
        <v>140240986</v>
      </c>
      <c r="M86" s="91">
        <f t="shared" ref="M86:W86" si="70">SUM(M78:M83)</f>
        <v>638338362</v>
      </c>
      <c r="N86" s="91">
        <f t="shared" ref="N86" si="71">SUM(N78:N83)</f>
        <v>4235153252</v>
      </c>
      <c r="O86" s="91">
        <f t="shared" ref="O86:P86" si="72">SUM(O78:O83)</f>
        <v>24618756000</v>
      </c>
      <c r="P86" s="91">
        <f t="shared" si="72"/>
        <v>25805431</v>
      </c>
      <c r="Q86" s="91">
        <f t="shared" ref="Q86" si="73">SUM(Q78:Q83)</f>
        <v>53695885</v>
      </c>
      <c r="R86" s="371">
        <f t="shared" si="70"/>
        <v>0</v>
      </c>
      <c r="S86" s="371">
        <f t="shared" si="70"/>
        <v>0</v>
      </c>
      <c r="T86" s="371">
        <f t="shared" si="70"/>
        <v>0</v>
      </c>
      <c r="U86" s="371">
        <f t="shared" si="70"/>
        <v>0</v>
      </c>
      <c r="V86" s="371">
        <f t="shared" si="70"/>
        <v>0</v>
      </c>
      <c r="W86" s="371">
        <f t="shared" si="70"/>
        <v>0</v>
      </c>
    </row>
    <row r="87" spans="1:29" s="372" customFormat="1" ht="12.6" thickBot="1">
      <c r="A87" s="93" t="s">
        <v>23</v>
      </c>
      <c r="B87" s="93"/>
      <c r="C87" s="93"/>
      <c r="D87" s="93"/>
      <c r="E87" s="93"/>
      <c r="F87" s="93"/>
      <c r="G87" s="93"/>
      <c r="H87" s="94">
        <f t="shared" ref="H87:AC87" si="74">H86+H77</f>
        <v>13857128</v>
      </c>
      <c r="I87" s="94">
        <f t="shared" si="74"/>
        <v>9253291</v>
      </c>
      <c r="J87" s="94">
        <f t="shared" si="74"/>
        <v>12130874</v>
      </c>
      <c r="K87" s="94">
        <f t="shared" si="74"/>
        <v>19117771</v>
      </c>
      <c r="L87" s="94">
        <f t="shared" si="74"/>
        <v>158422511</v>
      </c>
      <c r="M87" s="94">
        <f t="shared" si="74"/>
        <v>897179732</v>
      </c>
      <c r="N87" s="94">
        <f t="shared" ref="N87" si="75">N86+N77</f>
        <v>4779648729</v>
      </c>
      <c r="O87" s="94">
        <f t="shared" ref="O87:P87" si="76">O86+O77</f>
        <v>27647890000</v>
      </c>
      <c r="P87" s="94">
        <f t="shared" si="76"/>
        <v>33362095</v>
      </c>
      <c r="Q87" s="94">
        <f t="shared" ref="Q87" si="77">Q86+Q77</f>
        <v>61557531</v>
      </c>
      <c r="R87" s="371">
        <f t="shared" si="74"/>
        <v>0</v>
      </c>
      <c r="S87" s="371">
        <f t="shared" si="74"/>
        <v>0</v>
      </c>
      <c r="T87" s="371">
        <f t="shared" si="74"/>
        <v>0</v>
      </c>
      <c r="U87" s="371">
        <f t="shared" si="74"/>
        <v>0</v>
      </c>
      <c r="V87" s="371">
        <f t="shared" si="74"/>
        <v>0</v>
      </c>
      <c r="W87" s="371">
        <f t="shared" si="74"/>
        <v>0</v>
      </c>
      <c r="X87" s="371">
        <f t="shared" si="74"/>
        <v>0</v>
      </c>
      <c r="Y87" s="371">
        <f t="shared" si="74"/>
        <v>0</v>
      </c>
      <c r="Z87" s="371">
        <f t="shared" si="74"/>
        <v>0</v>
      </c>
      <c r="AA87" s="371">
        <f t="shared" si="74"/>
        <v>0</v>
      </c>
      <c r="AB87" s="371">
        <f t="shared" si="74"/>
        <v>0</v>
      </c>
      <c r="AC87" s="371">
        <f t="shared" si="74"/>
        <v>0</v>
      </c>
    </row>
    <row r="88" spans="1:29" s="372" customFormat="1" ht="12.6" thickTop="1">
      <c r="A88" s="43" t="s">
        <v>99</v>
      </c>
      <c r="B88" s="43"/>
      <c r="C88" s="43"/>
      <c r="D88" s="43"/>
      <c r="E88" s="43"/>
      <c r="F88" s="43"/>
      <c r="G88" s="43"/>
      <c r="H88" s="85">
        <f t="shared" ref="H88:M88" si="78">H87+H71</f>
        <v>33969181</v>
      </c>
      <c r="I88" s="85">
        <f t="shared" si="78"/>
        <v>21043953</v>
      </c>
      <c r="J88" s="85">
        <f t="shared" si="78"/>
        <v>24442417</v>
      </c>
      <c r="K88" s="85">
        <f t="shared" si="78"/>
        <v>33156176</v>
      </c>
      <c r="L88" s="85">
        <f t="shared" si="78"/>
        <v>261218084</v>
      </c>
      <c r="M88" s="85">
        <f t="shared" si="78"/>
        <v>2059909657</v>
      </c>
      <c r="N88" s="85">
        <f t="shared" ref="N88" si="79">N87+N71</f>
        <v>7454498383</v>
      </c>
      <c r="O88" s="85">
        <f t="shared" ref="O88:P88" si="80">O87+O71</f>
        <v>39197961000</v>
      </c>
      <c r="P88" s="85">
        <f t="shared" si="80"/>
        <v>63286798</v>
      </c>
      <c r="Q88" s="85">
        <f t="shared" ref="Q88" si="81">Q87+Q71</f>
        <v>85784666</v>
      </c>
    </row>
    <row r="89" spans="1:29">
      <c r="A89" s="20"/>
      <c r="B89" s="20"/>
      <c r="C89" s="20"/>
      <c r="D89" s="20"/>
      <c r="E89" s="20"/>
      <c r="F89" s="20"/>
      <c r="G89" s="20"/>
    </row>
    <row r="90" spans="1:29" s="367" customFormat="1">
      <c r="A90" s="461" t="s">
        <v>24</v>
      </c>
      <c r="B90" s="365"/>
      <c r="C90" s="365"/>
      <c r="D90" s="365"/>
      <c r="E90" s="365"/>
      <c r="F90" s="365"/>
      <c r="G90" s="365"/>
      <c r="H90" s="28" t="str">
        <f>H40</f>
        <v>Dec</v>
      </c>
      <c r="I90" s="104" t="s">
        <v>136</v>
      </c>
      <c r="J90" s="105" t="s">
        <v>136</v>
      </c>
      <c r="K90" s="103" t="s">
        <v>136</v>
      </c>
      <c r="L90" s="103" t="s">
        <v>136</v>
      </c>
      <c r="M90" s="103" t="s">
        <v>136</v>
      </c>
      <c r="N90" s="103" t="s">
        <v>136</v>
      </c>
      <c r="O90" s="103" t="s">
        <v>136</v>
      </c>
      <c r="P90" s="103" t="s">
        <v>136</v>
      </c>
      <c r="Q90" s="103" t="s">
        <v>136</v>
      </c>
    </row>
    <row r="91" spans="1:29" s="367" customFormat="1">
      <c r="A91" s="461"/>
      <c r="B91" s="365"/>
      <c r="C91" s="365"/>
      <c r="D91" s="365"/>
      <c r="E91" s="365"/>
      <c r="F91" s="365"/>
      <c r="G91" s="365"/>
      <c r="H91" s="26">
        <v>2014</v>
      </c>
      <c r="I91" s="3">
        <v>2015</v>
      </c>
      <c r="J91" s="352">
        <v>2016</v>
      </c>
      <c r="K91" s="3">
        <v>2017</v>
      </c>
      <c r="L91" s="3">
        <v>2018</v>
      </c>
      <c r="M91" s="104" t="s">
        <v>159</v>
      </c>
      <c r="N91" s="104">
        <v>2020</v>
      </c>
      <c r="O91" s="104">
        <v>2021</v>
      </c>
      <c r="P91" s="104">
        <v>2021</v>
      </c>
      <c r="Q91" s="104">
        <v>2021</v>
      </c>
    </row>
    <row r="92" spans="1:29" s="366" customFormat="1">
      <c r="A92" s="6" t="s">
        <v>41</v>
      </c>
      <c r="B92" s="6"/>
      <c r="C92" s="6"/>
      <c r="D92" s="6"/>
      <c r="E92" s="6"/>
      <c r="F92" s="6"/>
      <c r="G92" s="6"/>
      <c r="H92" s="92">
        <v>1969797</v>
      </c>
      <c r="I92" s="92">
        <v>1633461</v>
      </c>
      <c r="J92" s="92">
        <v>553165</v>
      </c>
      <c r="K92" s="92">
        <v>2383250</v>
      </c>
      <c r="L92" s="92">
        <v>20072981</v>
      </c>
      <c r="M92" s="92">
        <v>589696298</v>
      </c>
      <c r="N92" s="92">
        <v>615874311</v>
      </c>
      <c r="O92" s="92">
        <v>8721813000</v>
      </c>
      <c r="P92" s="92">
        <v>771971</v>
      </c>
      <c r="Q92" s="92">
        <v>4978645</v>
      </c>
      <c r="R92" s="372"/>
      <c r="S92" s="372"/>
      <c r="T92" s="372"/>
      <c r="U92" s="372"/>
      <c r="V92" s="372"/>
      <c r="W92" s="372"/>
      <c r="X92" s="372"/>
      <c r="Y92" s="372"/>
      <c r="Z92" s="372"/>
    </row>
    <row r="93" spans="1:29" s="372" customFormat="1">
      <c r="A93" s="4" t="s">
        <v>284</v>
      </c>
      <c r="B93" s="4"/>
      <c r="C93" s="4"/>
      <c r="D93" s="4"/>
      <c r="E93" s="4"/>
      <c r="F93" s="4"/>
      <c r="G93" s="4"/>
      <c r="H93" s="56"/>
      <c r="I93" s="99"/>
      <c r="J93" s="99"/>
      <c r="K93" s="99"/>
      <c r="L93" s="96"/>
      <c r="M93" s="96"/>
      <c r="N93" s="96"/>
      <c r="O93" s="96"/>
      <c r="P93" s="96"/>
      <c r="Q93" s="96"/>
    </row>
    <row r="94" spans="1:29" s="372" customFormat="1">
      <c r="A94" s="4" t="s">
        <v>144</v>
      </c>
      <c r="B94" s="4"/>
      <c r="C94" s="4"/>
      <c r="D94" s="4"/>
      <c r="E94" s="4"/>
      <c r="F94" s="4"/>
      <c r="G94" s="4"/>
      <c r="H94" s="97"/>
      <c r="I94" s="353">
        <v>-78131</v>
      </c>
      <c r="J94" s="353">
        <v>46681</v>
      </c>
      <c r="K94" s="353">
        <v>-117448</v>
      </c>
      <c r="L94" s="353"/>
      <c r="M94" s="101"/>
      <c r="N94" s="101"/>
      <c r="O94" s="101"/>
      <c r="P94" s="101"/>
      <c r="Q94" s="101"/>
    </row>
    <row r="95" spans="1:29" s="372" customFormat="1">
      <c r="A95" s="4" t="s">
        <v>412</v>
      </c>
      <c r="B95" s="4"/>
      <c r="C95" s="4"/>
      <c r="D95" s="4"/>
      <c r="E95" s="4"/>
      <c r="F95" s="4"/>
      <c r="G95" s="4"/>
      <c r="H95" s="97"/>
      <c r="I95" s="353">
        <v>452967</v>
      </c>
      <c r="J95" s="353"/>
      <c r="K95" s="353"/>
      <c r="L95" s="353"/>
      <c r="M95" s="101"/>
      <c r="N95" s="101"/>
      <c r="O95" s="101"/>
      <c r="P95" s="101"/>
      <c r="Q95" s="101"/>
    </row>
    <row r="96" spans="1:29" s="372" customFormat="1">
      <c r="A96" s="4" t="s">
        <v>103</v>
      </c>
      <c r="B96" s="4"/>
      <c r="C96" s="4"/>
      <c r="D96" s="4"/>
      <c r="E96" s="4"/>
      <c r="F96" s="4"/>
      <c r="G96" s="4"/>
      <c r="H96" s="97"/>
      <c r="I96" s="353">
        <v>-38500</v>
      </c>
      <c r="J96" s="353">
        <v>-8335</v>
      </c>
      <c r="K96" s="353"/>
      <c r="L96" s="353"/>
      <c r="M96" s="101"/>
      <c r="N96" s="101"/>
      <c r="O96" s="101"/>
      <c r="P96" s="101"/>
      <c r="Q96" s="101"/>
    </row>
    <row r="97" spans="1:23">
      <c r="A97" s="7" t="s">
        <v>25</v>
      </c>
      <c r="B97" s="7"/>
      <c r="C97" s="7"/>
      <c r="D97" s="7"/>
      <c r="E97" s="7"/>
      <c r="F97" s="7"/>
      <c r="G97" s="7"/>
      <c r="H97" s="95">
        <f t="shared" ref="H97:J97" si="82">SUM(H92:H96)</f>
        <v>1969797</v>
      </c>
      <c r="I97" s="95">
        <f t="shared" si="82"/>
        <v>1969797</v>
      </c>
      <c r="J97" s="95">
        <f t="shared" si="82"/>
        <v>591511</v>
      </c>
      <c r="K97" s="95">
        <f>SUM(K92:K96)</f>
        <v>2265802</v>
      </c>
      <c r="L97" s="95">
        <f t="shared" ref="L97:N97" si="83">SUM(L92:L96)</f>
        <v>20072981</v>
      </c>
      <c r="M97" s="95">
        <f t="shared" si="83"/>
        <v>589696298</v>
      </c>
      <c r="N97" s="95">
        <f t="shared" si="83"/>
        <v>615874311</v>
      </c>
      <c r="O97" s="95">
        <f t="shared" ref="O97" si="84">SUM(O92:O96)</f>
        <v>8721813000</v>
      </c>
      <c r="P97" s="95">
        <f>P92</f>
        <v>771971</v>
      </c>
      <c r="Q97" s="95">
        <f>Q92</f>
        <v>4978645</v>
      </c>
      <c r="R97" s="374"/>
      <c r="S97" s="374"/>
      <c r="T97" s="374"/>
      <c r="U97" s="374"/>
      <c r="V97" s="374"/>
      <c r="W97" s="374"/>
    </row>
    <row r="98" spans="1:23">
      <c r="A98" s="6" t="s">
        <v>424</v>
      </c>
      <c r="B98" s="6"/>
      <c r="C98" s="6"/>
      <c r="D98" s="6"/>
      <c r="E98" s="6"/>
      <c r="F98" s="6"/>
      <c r="G98" s="6"/>
      <c r="H98" s="92"/>
      <c r="I98" s="92"/>
      <c r="J98" s="92"/>
      <c r="K98" s="92"/>
      <c r="L98" s="92">
        <v>-1633551</v>
      </c>
      <c r="M98" s="92">
        <v>-589737378</v>
      </c>
      <c r="N98" s="92">
        <v>-492532971</v>
      </c>
      <c r="O98" s="92">
        <v>-3936732000</v>
      </c>
      <c r="P98" s="92">
        <v>-4746695</v>
      </c>
      <c r="Q98" s="92">
        <v>-4150995</v>
      </c>
      <c r="R98" s="374"/>
      <c r="S98" s="374"/>
      <c r="T98" s="374"/>
      <c r="U98" s="374"/>
      <c r="V98" s="374"/>
      <c r="W98" s="374"/>
    </row>
    <row r="99" spans="1:23">
      <c r="A99" s="38" t="s">
        <v>77</v>
      </c>
      <c r="B99" s="38"/>
      <c r="C99" s="38"/>
      <c r="D99" s="38"/>
      <c r="E99" s="38"/>
      <c r="F99" s="38"/>
      <c r="G99" s="38"/>
      <c r="H99" s="97"/>
      <c r="I99" s="97">
        <v>-210896</v>
      </c>
      <c r="J99" s="97">
        <v>-1972227</v>
      </c>
      <c r="K99" s="97">
        <v>-2983430</v>
      </c>
      <c r="L99" s="97"/>
      <c r="M99" s="97"/>
      <c r="N99" s="97"/>
      <c r="O99" s="97"/>
      <c r="P99" s="97"/>
      <c r="Q99" s="97"/>
    </row>
    <row r="100" spans="1:23">
      <c r="A100" s="38" t="s">
        <v>408</v>
      </c>
      <c r="B100" s="38"/>
      <c r="C100" s="38"/>
      <c r="D100" s="38"/>
      <c r="E100" s="38"/>
      <c r="F100" s="38"/>
      <c r="G100" s="38"/>
      <c r="H100" s="97"/>
      <c r="I100" s="97"/>
      <c r="J100" s="97"/>
      <c r="K100" s="97"/>
      <c r="L100" s="97"/>
      <c r="M100" s="97"/>
      <c r="N100" s="97"/>
      <c r="O100" s="97"/>
      <c r="P100" s="97"/>
      <c r="Q100" s="97"/>
    </row>
    <row r="101" spans="1:23" ht="12" customHeight="1">
      <c r="A101" s="38" t="s">
        <v>401</v>
      </c>
      <c r="B101" s="38"/>
      <c r="C101" s="38"/>
      <c r="D101" s="38"/>
      <c r="E101" s="38"/>
      <c r="F101" s="38"/>
      <c r="G101" s="38"/>
      <c r="H101" s="97"/>
      <c r="I101" s="97"/>
      <c r="J101" s="97"/>
      <c r="K101" s="97"/>
      <c r="L101" s="97"/>
      <c r="M101" s="97"/>
      <c r="N101" s="97"/>
      <c r="O101" s="97"/>
      <c r="P101" s="97"/>
      <c r="Q101" s="97"/>
    </row>
    <row r="102" spans="1:23">
      <c r="A102" s="38" t="s">
        <v>402</v>
      </c>
      <c r="B102" s="38"/>
      <c r="C102" s="38"/>
      <c r="D102" s="38"/>
      <c r="E102" s="38"/>
      <c r="F102" s="38"/>
      <c r="G102" s="38"/>
      <c r="H102" s="97"/>
      <c r="I102" s="97"/>
      <c r="J102" s="97"/>
      <c r="K102" s="97"/>
      <c r="L102" s="97"/>
      <c r="M102" s="97"/>
      <c r="N102" s="97"/>
      <c r="O102" s="97"/>
      <c r="P102" s="97"/>
      <c r="Q102" s="97"/>
    </row>
    <row r="103" spans="1:23">
      <c r="A103" s="38" t="s">
        <v>153</v>
      </c>
      <c r="B103" s="38"/>
      <c r="C103" s="38"/>
      <c r="D103" s="38"/>
      <c r="E103" s="38"/>
      <c r="F103" s="38"/>
      <c r="G103" s="38"/>
      <c r="H103" s="97"/>
      <c r="I103" s="97"/>
      <c r="J103" s="97">
        <v>20000</v>
      </c>
      <c r="K103" s="97">
        <v>5699</v>
      </c>
      <c r="L103" s="97"/>
      <c r="M103" s="97"/>
      <c r="N103" s="97"/>
      <c r="O103" s="97"/>
      <c r="P103" s="97"/>
      <c r="Q103" s="97"/>
    </row>
    <row r="104" spans="1:23">
      <c r="A104" s="38" t="s">
        <v>413</v>
      </c>
      <c r="B104" s="38"/>
      <c r="C104" s="38"/>
      <c r="D104" s="38"/>
      <c r="E104" s="38"/>
      <c r="F104" s="38"/>
      <c r="G104" s="38"/>
      <c r="H104" s="97"/>
      <c r="I104" s="97">
        <v>-1620000</v>
      </c>
      <c r="J104" s="97"/>
      <c r="K104" s="97"/>
      <c r="L104" s="97"/>
      <c r="M104" s="97"/>
      <c r="N104" s="97"/>
      <c r="O104" s="97"/>
      <c r="P104" s="97"/>
      <c r="Q104" s="97"/>
    </row>
    <row r="105" spans="1:23">
      <c r="A105" s="98" t="s">
        <v>78</v>
      </c>
      <c r="B105" s="98"/>
      <c r="C105" s="98"/>
      <c r="D105" s="98"/>
      <c r="E105" s="98"/>
      <c r="F105" s="98"/>
      <c r="G105" s="98"/>
      <c r="H105" s="97"/>
      <c r="I105" s="97">
        <v>75310</v>
      </c>
      <c r="J105" s="97">
        <v>207023</v>
      </c>
      <c r="K105" s="97">
        <v>63207</v>
      </c>
      <c r="L105" s="97"/>
      <c r="M105" s="97"/>
      <c r="N105" s="97"/>
      <c r="O105" s="97"/>
      <c r="P105" s="97"/>
      <c r="Q105" s="97"/>
    </row>
    <row r="106" spans="1:23">
      <c r="A106" s="38" t="s">
        <v>151</v>
      </c>
      <c r="B106" s="38"/>
      <c r="C106" s="38"/>
      <c r="D106" s="38"/>
      <c r="E106" s="38"/>
      <c r="F106" s="38"/>
      <c r="G106" s="38"/>
      <c r="H106" s="97"/>
      <c r="I106" s="97"/>
      <c r="J106" s="97"/>
      <c r="K106" s="97"/>
      <c r="L106" s="97"/>
      <c r="M106" s="97"/>
      <c r="N106" s="97"/>
      <c r="O106" s="97"/>
      <c r="P106" s="97"/>
      <c r="Q106" s="97"/>
    </row>
    <row r="107" spans="1:23">
      <c r="A107" s="38" t="s">
        <v>414</v>
      </c>
      <c r="B107" s="38"/>
      <c r="C107" s="38"/>
      <c r="D107" s="38"/>
      <c r="E107" s="38"/>
      <c r="F107" s="38"/>
      <c r="G107" s="38"/>
      <c r="H107" s="97"/>
      <c r="I107" s="97">
        <v>-67378</v>
      </c>
      <c r="J107" s="97"/>
      <c r="K107" s="97"/>
      <c r="L107" s="97"/>
      <c r="M107" s="97"/>
      <c r="N107" s="97"/>
      <c r="O107" s="97"/>
      <c r="P107" s="97"/>
      <c r="Q107" s="97"/>
    </row>
    <row r="108" spans="1:23">
      <c r="A108" s="38" t="s">
        <v>288</v>
      </c>
      <c r="B108" s="38"/>
      <c r="C108" s="38"/>
      <c r="D108" s="38"/>
      <c r="E108" s="38"/>
      <c r="F108" s="38"/>
      <c r="G108" s="38"/>
      <c r="H108" s="97"/>
      <c r="I108" s="97"/>
      <c r="J108" s="97"/>
      <c r="K108" s="97"/>
      <c r="L108" s="97"/>
      <c r="M108" s="97"/>
      <c r="N108" s="97"/>
      <c r="O108" s="97"/>
      <c r="P108" s="97"/>
      <c r="Q108" s="97"/>
    </row>
    <row r="109" spans="1:23">
      <c r="A109" s="38" t="s">
        <v>409</v>
      </c>
      <c r="B109" s="38"/>
      <c r="C109" s="38"/>
      <c r="D109" s="38"/>
      <c r="E109" s="38"/>
      <c r="F109" s="38"/>
      <c r="G109" s="38"/>
      <c r="H109" s="97"/>
      <c r="I109" s="97"/>
      <c r="J109" s="97">
        <v>42221</v>
      </c>
      <c r="K109" s="97">
        <v>42344</v>
      </c>
      <c r="L109" s="97"/>
      <c r="M109" s="97"/>
      <c r="N109" s="97"/>
      <c r="O109" s="97"/>
      <c r="P109" s="97"/>
      <c r="Q109" s="97"/>
    </row>
    <row r="110" spans="1:23">
      <c r="A110" s="38" t="s">
        <v>150</v>
      </c>
      <c r="B110" s="38"/>
      <c r="C110" s="38"/>
      <c r="D110" s="38"/>
      <c r="E110" s="38"/>
      <c r="F110" s="38"/>
      <c r="G110" s="38"/>
      <c r="H110" s="97"/>
      <c r="I110" s="99"/>
      <c r="J110" s="99">
        <v>1488600</v>
      </c>
      <c r="K110" s="99"/>
      <c r="L110" s="379"/>
      <c r="M110" s="99"/>
      <c r="N110" s="99"/>
      <c r="O110" s="99"/>
      <c r="P110" s="99"/>
      <c r="Q110" s="99"/>
    </row>
    <row r="111" spans="1:23">
      <c r="A111" s="90" t="s">
        <v>29</v>
      </c>
      <c r="B111" s="90"/>
      <c r="C111" s="90"/>
      <c r="D111" s="90"/>
      <c r="E111" s="90"/>
      <c r="F111" s="90"/>
      <c r="G111" s="90"/>
      <c r="H111" s="95">
        <f>SUM(H99:H110)</f>
        <v>0</v>
      </c>
      <c r="I111" s="95">
        <f>SUM(I99:I110)</f>
        <v>-1822964</v>
      </c>
      <c r="J111" s="95">
        <f>SUM(J99:J110)</f>
        <v>-214383</v>
      </c>
      <c r="K111" s="95">
        <f>SUM(K99:K110)</f>
        <v>-2872180</v>
      </c>
      <c r="L111" s="95">
        <f t="shared" ref="L111:Q111" si="85">SUM(L98:L110)</f>
        <v>-1633551</v>
      </c>
      <c r="M111" s="95">
        <f t="shared" si="85"/>
        <v>-589737378</v>
      </c>
      <c r="N111" s="95">
        <f t="shared" si="85"/>
        <v>-492532971</v>
      </c>
      <c r="O111" s="95">
        <f t="shared" si="85"/>
        <v>-3936732000</v>
      </c>
      <c r="P111" s="95">
        <f t="shared" si="85"/>
        <v>-4746695</v>
      </c>
      <c r="Q111" s="95">
        <f t="shared" si="85"/>
        <v>-4150995</v>
      </c>
      <c r="R111" s="374">
        <f t="shared" ref="R111:W111" si="86">SUM(R99:R110)</f>
        <v>0</v>
      </c>
      <c r="S111" s="374">
        <f t="shared" si="86"/>
        <v>0</v>
      </c>
      <c r="T111" s="374">
        <f t="shared" si="86"/>
        <v>0</v>
      </c>
      <c r="U111" s="374">
        <f t="shared" si="86"/>
        <v>0</v>
      </c>
      <c r="V111" s="374">
        <f t="shared" si="86"/>
        <v>0</v>
      </c>
      <c r="W111" s="374">
        <f t="shared" si="86"/>
        <v>0</v>
      </c>
    </row>
    <row r="112" spans="1:23">
      <c r="A112" s="43" t="s">
        <v>425</v>
      </c>
      <c r="B112" s="43"/>
      <c r="C112" s="43"/>
      <c r="D112" s="43"/>
      <c r="E112" s="43"/>
      <c r="F112" s="43"/>
      <c r="G112" s="43"/>
      <c r="H112" s="92"/>
      <c r="I112" s="92"/>
      <c r="J112" s="92"/>
      <c r="K112" s="92"/>
      <c r="L112" s="92">
        <v>-2948487</v>
      </c>
      <c r="M112" s="92">
        <v>-52482501</v>
      </c>
      <c r="N112" s="92">
        <v>173813135</v>
      </c>
      <c r="O112" s="92">
        <v>-51403000</v>
      </c>
      <c r="P112" s="92">
        <v>-990814</v>
      </c>
      <c r="Q112" s="92">
        <v>366036</v>
      </c>
      <c r="R112" s="374"/>
      <c r="S112" s="374"/>
      <c r="T112" s="374"/>
      <c r="U112" s="374"/>
      <c r="V112" s="374"/>
      <c r="W112" s="374"/>
    </row>
    <row r="113" spans="1:29">
      <c r="A113" s="38" t="s">
        <v>116</v>
      </c>
      <c r="B113" s="38"/>
      <c r="C113" s="38"/>
      <c r="D113" s="38"/>
      <c r="E113" s="38"/>
      <c r="F113" s="38"/>
      <c r="G113" s="38"/>
      <c r="H113" s="56"/>
      <c r="I113" s="4"/>
      <c r="J113" s="4"/>
      <c r="K113" s="4"/>
      <c r="L113" s="4"/>
      <c r="M113" s="4"/>
      <c r="N113" s="4"/>
      <c r="O113" s="4"/>
      <c r="P113" s="4"/>
      <c r="Q113" s="4"/>
    </row>
    <row r="114" spans="1:29" s="361" customFormat="1" ht="13.8">
      <c r="A114" s="38" t="s">
        <v>285</v>
      </c>
      <c r="B114" s="38"/>
      <c r="C114" s="38"/>
      <c r="D114" s="38"/>
      <c r="E114" s="38"/>
      <c r="F114" s="38"/>
      <c r="G114" s="38"/>
      <c r="H114" s="39"/>
      <c r="I114" s="39">
        <v>-1138799</v>
      </c>
      <c r="J114" s="39">
        <v>261299</v>
      </c>
      <c r="K114" s="39">
        <v>1193291</v>
      </c>
      <c r="L114" s="39"/>
      <c r="M114" s="39"/>
      <c r="N114" s="39"/>
      <c r="O114" s="39"/>
      <c r="P114" s="39"/>
      <c r="Q114" s="39"/>
    </row>
    <row r="115" spans="1:29" s="361" customFormat="1" ht="13.8">
      <c r="A115" s="38" t="s">
        <v>157</v>
      </c>
      <c r="B115" s="38"/>
      <c r="C115" s="38"/>
      <c r="D115" s="38"/>
      <c r="E115" s="38"/>
      <c r="F115" s="38"/>
      <c r="G115" s="38"/>
      <c r="H115" s="39"/>
      <c r="I115" s="39"/>
      <c r="J115" s="39"/>
      <c r="K115" s="39"/>
      <c r="L115" s="39"/>
      <c r="M115" s="39"/>
      <c r="N115" s="39"/>
      <c r="O115" s="39"/>
      <c r="P115" s="39"/>
      <c r="Q115" s="39"/>
    </row>
    <row r="116" spans="1:29" s="361" customFormat="1" ht="13.8">
      <c r="A116" s="38" t="s">
        <v>146</v>
      </c>
      <c r="B116" s="38"/>
      <c r="C116" s="38"/>
      <c r="D116" s="38"/>
      <c r="E116" s="38"/>
      <c r="F116" s="38"/>
      <c r="G116" s="38"/>
      <c r="H116" s="39"/>
      <c r="I116" s="39"/>
      <c r="J116" s="39"/>
      <c r="K116" s="39"/>
      <c r="L116" s="39"/>
      <c r="M116" s="39"/>
      <c r="N116" s="39"/>
      <c r="O116" s="39"/>
      <c r="P116" s="39"/>
      <c r="Q116" s="39"/>
    </row>
    <row r="117" spans="1:29" s="361" customFormat="1" ht="13.8">
      <c r="A117" s="38" t="s">
        <v>153</v>
      </c>
      <c r="B117" s="38"/>
      <c r="C117" s="38"/>
      <c r="D117" s="38"/>
      <c r="E117" s="38"/>
      <c r="F117" s="38"/>
      <c r="G117" s="38"/>
      <c r="H117" s="39"/>
      <c r="I117" s="39"/>
      <c r="J117" s="39"/>
      <c r="K117" s="39"/>
      <c r="L117" s="39"/>
      <c r="M117" s="39"/>
      <c r="N117" s="39"/>
      <c r="O117" s="39"/>
      <c r="P117" s="39"/>
      <c r="Q117" s="39"/>
    </row>
    <row r="118" spans="1:29" s="361" customFormat="1" ht="13.8">
      <c r="A118" s="38" t="s">
        <v>104</v>
      </c>
      <c r="B118" s="38"/>
      <c r="C118" s="38"/>
      <c r="D118" s="38"/>
      <c r="E118" s="38"/>
      <c r="F118" s="38"/>
      <c r="G118" s="38"/>
      <c r="H118" s="56"/>
      <c r="I118" s="55"/>
      <c r="J118" s="55">
        <v>-595333</v>
      </c>
      <c r="K118" s="55">
        <v>-54054</v>
      </c>
      <c r="L118" s="55"/>
      <c r="M118" s="55"/>
      <c r="N118" s="55"/>
      <c r="O118" s="55"/>
      <c r="P118" s="55"/>
      <c r="Q118" s="55"/>
    </row>
    <row r="119" spans="1:29">
      <c r="A119" s="90" t="s">
        <v>31</v>
      </c>
      <c r="B119" s="90"/>
      <c r="C119" s="90"/>
      <c r="D119" s="90"/>
      <c r="E119" s="90"/>
      <c r="F119" s="90"/>
      <c r="G119" s="90"/>
      <c r="H119" s="95">
        <f>SUM(H113:H118)</f>
        <v>0</v>
      </c>
      <c r="I119" s="95">
        <f>SUM(I113:I118)</f>
        <v>-1138799</v>
      </c>
      <c r="J119" s="95">
        <f>SUM(J113:J118)</f>
        <v>-334034</v>
      </c>
      <c r="K119" s="95">
        <f>SUM(K112:K118)</f>
        <v>1139237</v>
      </c>
      <c r="L119" s="95">
        <f t="shared" ref="L119:M119" si="87">SUM(L112:L118)</f>
        <v>-2948487</v>
      </c>
      <c r="M119" s="95">
        <f t="shared" si="87"/>
        <v>-52482501</v>
      </c>
      <c r="N119" s="95">
        <f t="shared" ref="N119" si="88">SUM(N112:N118)</f>
        <v>173813135</v>
      </c>
      <c r="O119" s="95">
        <f t="shared" ref="O119:P119" si="89">SUM(O112:O118)</f>
        <v>-51403000</v>
      </c>
      <c r="P119" s="95">
        <f t="shared" si="89"/>
        <v>-990814</v>
      </c>
      <c r="Q119" s="95">
        <f t="shared" ref="Q119" si="90">SUM(Q112:Q118)</f>
        <v>366036</v>
      </c>
      <c r="R119" s="374"/>
    </row>
    <row r="120" spans="1:29">
      <c r="A120" s="57" t="s">
        <v>105</v>
      </c>
      <c r="B120" s="57"/>
      <c r="C120" s="57"/>
      <c r="D120" s="57"/>
      <c r="E120" s="57"/>
      <c r="F120" s="57"/>
      <c r="G120" s="57"/>
      <c r="H120" s="92">
        <f t="shared" ref="H120:M120" si="91">H119+H111+H97</f>
        <v>1969797</v>
      </c>
      <c r="I120" s="92">
        <f t="shared" si="91"/>
        <v>-991966</v>
      </c>
      <c r="J120" s="92">
        <f t="shared" si="91"/>
        <v>43094</v>
      </c>
      <c r="K120" s="92">
        <f t="shared" si="91"/>
        <v>532859</v>
      </c>
      <c r="L120" s="56">
        <f t="shared" si="91"/>
        <v>15490943</v>
      </c>
      <c r="M120" s="56">
        <f t="shared" si="91"/>
        <v>-52523581</v>
      </c>
      <c r="N120" s="56">
        <f t="shared" ref="N120" si="92">N119+N111+N97</f>
        <v>297154475</v>
      </c>
      <c r="O120" s="56">
        <f t="shared" ref="O120:P120" si="93">O119+O111+O97</f>
        <v>4733678000</v>
      </c>
      <c r="P120" s="56">
        <f t="shared" si="93"/>
        <v>-4965538</v>
      </c>
      <c r="Q120" s="56">
        <f t="shared" ref="Q120" si="94">Q119+Q111+Q97</f>
        <v>1193686</v>
      </c>
      <c r="R120" s="375"/>
      <c r="S120" s="375"/>
      <c r="T120" s="375"/>
      <c r="U120" s="375"/>
      <c r="V120" s="375"/>
      <c r="W120" s="375"/>
      <c r="X120" s="375"/>
      <c r="Y120" s="375"/>
      <c r="Z120" s="375"/>
      <c r="AA120" s="375">
        <f>AA119+AA111+AA97</f>
        <v>0</v>
      </c>
      <c r="AB120" s="375">
        <f>AB119+AB111+AB97</f>
        <v>0</v>
      </c>
      <c r="AC120" s="375">
        <f>AC119+AC111+AC97</f>
        <v>0</v>
      </c>
    </row>
    <row r="121" spans="1:29" ht="13.95" customHeight="1">
      <c r="A121" s="57" t="s">
        <v>33</v>
      </c>
      <c r="B121" s="57"/>
      <c r="C121" s="57"/>
      <c r="D121" s="57"/>
      <c r="E121" s="57"/>
      <c r="F121" s="57"/>
      <c r="G121" s="57"/>
      <c r="H121" s="55">
        <f>H105+H106+H99</f>
        <v>0</v>
      </c>
      <c r="I121" s="55">
        <f>I105+I106+I99</f>
        <v>-135586</v>
      </c>
      <c r="J121" s="55">
        <f>J105+J106+J99</f>
        <v>-1765204</v>
      </c>
      <c r="K121" s="236">
        <f>K105+K106+K99</f>
        <v>-2920223</v>
      </c>
      <c r="L121" s="55">
        <f t="shared" ref="L121:Q121" si="95">L111</f>
        <v>-1633551</v>
      </c>
      <c r="M121" s="55">
        <f t="shared" si="95"/>
        <v>-589737378</v>
      </c>
      <c r="N121" s="55">
        <f t="shared" si="95"/>
        <v>-492532971</v>
      </c>
      <c r="O121" s="55">
        <f t="shared" si="95"/>
        <v>-3936732000</v>
      </c>
      <c r="P121" s="55">
        <f t="shared" si="95"/>
        <v>-4746695</v>
      </c>
      <c r="Q121" s="55">
        <f t="shared" si="95"/>
        <v>-4150995</v>
      </c>
      <c r="R121" s="376"/>
      <c r="S121" s="376"/>
      <c r="T121" s="376"/>
      <c r="U121" s="376"/>
      <c r="V121" s="376"/>
      <c r="W121" s="376"/>
      <c r="X121" s="376"/>
      <c r="Y121" s="376"/>
      <c r="Z121" s="376"/>
      <c r="AA121" s="376" t="e">
        <f>#REF!-AA110-AA105+#REF!+#REF!+#REF!+AA99</f>
        <v>#REF!</v>
      </c>
    </row>
    <row r="122" spans="1:29">
      <c r="A122" s="86" t="s">
        <v>34</v>
      </c>
      <c r="B122" s="86"/>
      <c r="C122" s="86"/>
      <c r="D122" s="86"/>
      <c r="E122" s="86"/>
      <c r="F122" s="86"/>
      <c r="G122" s="86"/>
      <c r="H122" s="100" t="e">
        <f t="shared" ref="H122:M122" si="96">H97*100/H131</f>
        <v>#DIV/0!</v>
      </c>
      <c r="I122" s="100">
        <f t="shared" si="96"/>
        <v>0.89335736763709905</v>
      </c>
      <c r="J122" s="100">
        <f t="shared" si="96"/>
        <v>0.26826658274349496</v>
      </c>
      <c r="K122" s="100">
        <f t="shared" si="96"/>
        <v>0.97655505350760996</v>
      </c>
      <c r="L122" s="100">
        <f t="shared" si="96"/>
        <v>8.6082746881825045</v>
      </c>
      <c r="M122" s="100">
        <f t="shared" si="96"/>
        <v>244.02534739514672</v>
      </c>
      <c r="N122" s="100">
        <f t="shared" ref="N122" si="97">N97*100/N131</f>
        <v>254.85820956183386</v>
      </c>
      <c r="O122" s="100">
        <f t="shared" ref="O122:P122" si="98">O97*100/O131</f>
        <v>3609.2196177234723</v>
      </c>
      <c r="P122" s="100">
        <f t="shared" si="98"/>
        <v>0.31945340693656316</v>
      </c>
      <c r="Q122" s="100">
        <f t="shared" ref="Q122" si="99">Q97*100/Q131</f>
        <v>2.0797213751618697</v>
      </c>
      <c r="R122" s="377"/>
      <c r="S122" s="377"/>
      <c r="T122" s="377"/>
      <c r="U122" s="377"/>
      <c r="V122" s="377"/>
      <c r="W122" s="377"/>
      <c r="X122" s="377"/>
      <c r="Y122" s="377"/>
      <c r="Z122" s="377"/>
      <c r="AA122" s="377" t="e">
        <f>AA97*100/AA131</f>
        <v>#DIV/0!</v>
      </c>
      <c r="AB122" s="377" t="e">
        <f>AB97*100/AB131</f>
        <v>#DIV/0!</v>
      </c>
    </row>
    <row r="123" spans="1:29" s="367" customFormat="1">
      <c r="A123" s="58" t="s">
        <v>110</v>
      </c>
      <c r="B123" s="58"/>
      <c r="C123" s="58"/>
      <c r="D123" s="58"/>
      <c r="E123" s="58"/>
      <c r="F123" s="58"/>
      <c r="G123" s="58"/>
      <c r="H123" s="21"/>
      <c r="I123" s="21"/>
      <c r="J123" s="33"/>
      <c r="K123" s="21"/>
      <c r="L123" s="22"/>
      <c r="M123" s="22"/>
      <c r="N123" s="22"/>
      <c r="O123" s="22"/>
      <c r="P123" s="22"/>
      <c r="Q123" s="22"/>
    </row>
    <row r="124" spans="1:29">
      <c r="A124" s="35" t="s">
        <v>107</v>
      </c>
      <c r="B124" s="35"/>
      <c r="C124" s="35"/>
      <c r="D124" s="35"/>
      <c r="E124" s="35"/>
      <c r="F124" s="35"/>
      <c r="G124" s="35"/>
      <c r="H124" s="18">
        <f t="shared" ref="H124:O124" si="100">H97</f>
        <v>1969797</v>
      </c>
      <c r="I124" s="18">
        <f t="shared" si="100"/>
        <v>1969797</v>
      </c>
      <c r="J124" s="18">
        <f t="shared" si="100"/>
        <v>591511</v>
      </c>
      <c r="K124" s="18">
        <f t="shared" si="100"/>
        <v>2265802</v>
      </c>
      <c r="L124" s="18">
        <f t="shared" si="100"/>
        <v>20072981</v>
      </c>
      <c r="M124" s="18">
        <f t="shared" si="100"/>
        <v>589696298</v>
      </c>
      <c r="N124" s="18">
        <f t="shared" si="100"/>
        <v>615874311</v>
      </c>
      <c r="O124" s="18">
        <f t="shared" si="100"/>
        <v>8721813000</v>
      </c>
      <c r="P124" s="18">
        <f>P97</f>
        <v>771971</v>
      </c>
      <c r="Q124" s="18">
        <f>Q97</f>
        <v>4978645</v>
      </c>
      <c r="R124" s="376"/>
      <c r="S124" s="376"/>
      <c r="T124" s="376"/>
      <c r="U124" s="376"/>
      <c r="V124" s="376"/>
      <c r="W124" s="376"/>
      <c r="X124" s="376"/>
      <c r="Y124" s="376"/>
      <c r="Z124" s="376"/>
      <c r="AA124" s="376" t="e">
        <f>#REF!</f>
        <v>#REF!</v>
      </c>
      <c r="AB124" s="376" t="e">
        <f>#REF!</f>
        <v>#REF!</v>
      </c>
      <c r="AC124" s="376" t="e">
        <f>#REF!</f>
        <v>#REF!</v>
      </c>
    </row>
    <row r="125" spans="1:29">
      <c r="A125" s="35" t="s">
        <v>108</v>
      </c>
      <c r="B125" s="35"/>
      <c r="C125" s="35"/>
      <c r="D125" s="35"/>
      <c r="E125" s="35"/>
      <c r="F125" s="35"/>
      <c r="G125" s="18">
        <f t="shared" ref="G125:O125" si="101">G121</f>
        <v>0</v>
      </c>
      <c r="H125" s="18">
        <f t="shared" si="101"/>
        <v>0</v>
      </c>
      <c r="I125" s="18">
        <f t="shared" si="101"/>
        <v>-135586</v>
      </c>
      <c r="J125" s="18">
        <f t="shared" si="101"/>
        <v>-1765204</v>
      </c>
      <c r="K125" s="18">
        <f t="shared" si="101"/>
        <v>-2920223</v>
      </c>
      <c r="L125" s="18">
        <f t="shared" si="101"/>
        <v>-1633551</v>
      </c>
      <c r="M125" s="18">
        <f t="shared" si="101"/>
        <v>-589737378</v>
      </c>
      <c r="N125" s="18">
        <f t="shared" si="101"/>
        <v>-492532971</v>
      </c>
      <c r="O125" s="18">
        <f t="shared" si="101"/>
        <v>-3936732000</v>
      </c>
      <c r="P125" s="18">
        <f>P121</f>
        <v>-4746695</v>
      </c>
      <c r="Q125" s="18">
        <f>Q121</f>
        <v>-4150995</v>
      </c>
      <c r="R125" s="376"/>
      <c r="S125" s="376"/>
      <c r="T125" s="376"/>
      <c r="U125" s="376"/>
      <c r="V125" s="376"/>
      <c r="W125" s="376"/>
      <c r="X125" s="376"/>
      <c r="Y125" s="376"/>
      <c r="Z125" s="376"/>
      <c r="AA125" s="376" t="e">
        <f>AA121</f>
        <v>#REF!</v>
      </c>
      <c r="AB125" s="376">
        <f>AB121</f>
        <v>0</v>
      </c>
      <c r="AC125" s="376">
        <f>AC121</f>
        <v>0</v>
      </c>
    </row>
    <row r="126" spans="1:29" s="372" customFormat="1">
      <c r="A126" s="59" t="s">
        <v>106</v>
      </c>
      <c r="B126" s="59"/>
      <c r="C126" s="59"/>
      <c r="D126" s="59"/>
      <c r="E126" s="59"/>
      <c r="F126" s="59"/>
      <c r="G126" s="59"/>
      <c r="H126" s="18">
        <f t="shared" ref="H126:M126" si="102">H124+H125</f>
        <v>1969797</v>
      </c>
      <c r="I126" s="18">
        <f t="shared" si="102"/>
        <v>1834211</v>
      </c>
      <c r="J126" s="18">
        <f t="shared" si="102"/>
        <v>-1173693</v>
      </c>
      <c r="K126" s="18">
        <f t="shared" si="102"/>
        <v>-654421</v>
      </c>
      <c r="L126" s="18">
        <f t="shared" si="102"/>
        <v>18439430</v>
      </c>
      <c r="M126" s="18">
        <f t="shared" si="102"/>
        <v>-41080</v>
      </c>
      <c r="N126" s="18">
        <f t="shared" ref="N126" si="103">N124+N125</f>
        <v>123341340</v>
      </c>
      <c r="O126" s="18">
        <f t="shared" ref="O126:P126" si="104">O124+O125</f>
        <v>4785081000</v>
      </c>
      <c r="P126" s="18">
        <f t="shared" si="104"/>
        <v>-3974724</v>
      </c>
      <c r="Q126" s="18">
        <f t="shared" ref="Q126" si="105">Q124+Q125</f>
        <v>827650</v>
      </c>
      <c r="R126" s="376"/>
      <c r="S126" s="376"/>
      <c r="T126" s="376"/>
      <c r="U126" s="376"/>
      <c r="V126" s="376"/>
      <c r="W126" s="376"/>
      <c r="X126" s="376"/>
      <c r="Y126" s="376"/>
      <c r="Z126" s="376"/>
      <c r="AA126" s="376" t="e">
        <f>AA124+AA125</f>
        <v>#REF!</v>
      </c>
    </row>
    <row r="127" spans="1:29">
      <c r="A127" s="35" t="s">
        <v>109</v>
      </c>
      <c r="B127" s="35"/>
      <c r="C127" s="35"/>
      <c r="D127" s="35"/>
      <c r="E127" s="35"/>
      <c r="F127" s="35"/>
      <c r="G127" s="35"/>
      <c r="H127" s="18"/>
      <c r="I127" s="18"/>
      <c r="J127" s="54"/>
    </row>
    <row r="128" spans="1:29" s="367" customFormat="1">
      <c r="A128" s="461" t="s">
        <v>8</v>
      </c>
      <c r="B128" s="365"/>
      <c r="C128" s="365"/>
      <c r="D128" s="365"/>
      <c r="E128" s="365"/>
      <c r="F128" s="365"/>
      <c r="G128" s="365"/>
      <c r="H128" s="26" t="str">
        <f>H90</f>
        <v>Dec</v>
      </c>
      <c r="I128" s="26" t="s">
        <v>136</v>
      </c>
      <c r="J128" s="26" t="s">
        <v>136</v>
      </c>
      <c r="K128" s="26" t="s">
        <v>136</v>
      </c>
      <c r="L128" s="26" t="s">
        <v>136</v>
      </c>
      <c r="M128" s="22"/>
      <c r="N128" s="22"/>
      <c r="O128" s="22"/>
      <c r="P128" s="22"/>
      <c r="Q128" s="22"/>
    </row>
    <row r="129" spans="1:25" s="367" customFormat="1">
      <c r="A129" s="461"/>
      <c r="B129" s="365"/>
      <c r="C129" s="365"/>
      <c r="D129" s="365"/>
      <c r="E129" s="365"/>
      <c r="F129" s="365"/>
      <c r="G129" s="365"/>
      <c r="H129" s="26">
        <f>H91</f>
        <v>2014</v>
      </c>
      <c r="I129" s="26">
        <v>2015</v>
      </c>
      <c r="J129" s="34">
        <v>2016</v>
      </c>
      <c r="K129" s="22">
        <v>2017</v>
      </c>
      <c r="L129" s="22">
        <v>2018</v>
      </c>
      <c r="M129" s="22" t="s">
        <v>159</v>
      </c>
      <c r="N129" s="22" t="s">
        <v>445</v>
      </c>
      <c r="O129" s="22" t="s">
        <v>446</v>
      </c>
      <c r="P129" s="22">
        <v>2022</v>
      </c>
      <c r="Q129" s="22">
        <v>2023</v>
      </c>
    </row>
    <row r="130" spans="1:25">
      <c r="A130" s="17" t="s">
        <v>32</v>
      </c>
      <c r="B130" s="17"/>
      <c r="C130" s="17"/>
      <c r="D130" s="17"/>
      <c r="E130" s="17"/>
      <c r="F130" s="17"/>
      <c r="G130" s="17"/>
      <c r="H130" s="29"/>
      <c r="I130" s="29">
        <v>0.81</v>
      </c>
      <c r="J130" s="380">
        <v>1.7</v>
      </c>
      <c r="K130" s="23">
        <v>7.2</v>
      </c>
      <c r="L130" s="23">
        <v>7.56</v>
      </c>
      <c r="M130" s="1">
        <v>48</v>
      </c>
      <c r="N130" s="1">
        <v>4001.38</v>
      </c>
      <c r="O130" s="1">
        <v>7000</v>
      </c>
      <c r="P130" s="1">
        <v>11</v>
      </c>
      <c r="Q130" s="1">
        <v>11</v>
      </c>
      <c r="R130" s="457">
        <f>R134/Q131</f>
        <v>0.1169639500396842</v>
      </c>
    </row>
    <row r="131" spans="1:25">
      <c r="A131" s="17" t="s">
        <v>111</v>
      </c>
      <c r="B131" s="17"/>
      <c r="C131" s="17"/>
      <c r="D131" s="17"/>
      <c r="E131" s="17"/>
      <c r="F131" s="17"/>
      <c r="G131" s="17"/>
      <c r="H131" s="18"/>
      <c r="I131" s="76">
        <v>220493732</v>
      </c>
      <c r="J131" s="76">
        <v>220493732</v>
      </c>
      <c r="K131" s="76">
        <v>232019894</v>
      </c>
      <c r="L131" s="76">
        <v>233182394</v>
      </c>
      <c r="M131" s="76">
        <v>241653707</v>
      </c>
      <c r="N131" s="76">
        <v>241653707</v>
      </c>
      <c r="O131" s="76">
        <v>241653707</v>
      </c>
      <c r="P131" s="76">
        <v>241653707</v>
      </c>
      <c r="Q131" s="76">
        <v>239390000</v>
      </c>
      <c r="R131" s="455"/>
      <c r="S131" s="376"/>
      <c r="T131" s="376"/>
      <c r="U131" s="376"/>
    </row>
    <row r="132" spans="1:25">
      <c r="A132" s="17" t="s">
        <v>112</v>
      </c>
      <c r="B132" s="17"/>
      <c r="C132" s="17"/>
      <c r="D132" s="17"/>
      <c r="E132" s="17"/>
      <c r="F132" s="17"/>
      <c r="G132" s="17"/>
      <c r="H132" s="18"/>
    </row>
    <row r="133" spans="1:25">
      <c r="A133" s="17" t="s">
        <v>113</v>
      </c>
      <c r="B133" s="17"/>
      <c r="C133" s="17"/>
      <c r="D133" s="17"/>
      <c r="E133" s="17"/>
      <c r="F133" s="17"/>
      <c r="G133" s="17"/>
      <c r="H133" s="36"/>
      <c r="L133" s="76"/>
    </row>
    <row r="134" spans="1:25">
      <c r="A134" s="17" t="s">
        <v>9</v>
      </c>
      <c r="B134" s="17"/>
      <c r="C134" s="17"/>
      <c r="D134" s="17"/>
      <c r="E134" s="17"/>
      <c r="F134" s="17"/>
      <c r="G134" s="17"/>
      <c r="H134" s="18">
        <f t="shared" ref="H134:M134" si="106">H131*H130/100</f>
        <v>0</v>
      </c>
      <c r="I134" s="18">
        <f t="shared" si="106"/>
        <v>1785999.2292000002</v>
      </c>
      <c r="J134" s="18">
        <f t="shared" si="106"/>
        <v>3748393.4439999997</v>
      </c>
      <c r="K134" s="18">
        <f t="shared" si="106"/>
        <v>16705432.367999999</v>
      </c>
      <c r="L134" s="18">
        <f t="shared" si="106"/>
        <v>17628588.986399997</v>
      </c>
      <c r="M134" s="18">
        <f t="shared" si="106"/>
        <v>115993779.36</v>
      </c>
      <c r="N134" s="18">
        <f t="shared" ref="N134" si="107">N131*N130/100</f>
        <v>9669483101.156601</v>
      </c>
      <c r="O134" s="18">
        <f t="shared" ref="O134:P134" si="108">O131*O130/100</f>
        <v>16915759490</v>
      </c>
      <c r="P134" s="18">
        <f t="shared" si="108"/>
        <v>26581907.77</v>
      </c>
      <c r="Q134" s="18">
        <f>Q131*Q130/100</f>
        <v>26332900</v>
      </c>
      <c r="R134" s="376">
        <f>28000000</f>
        <v>28000000</v>
      </c>
      <c r="S134" s="376"/>
      <c r="T134" s="376"/>
      <c r="U134" s="376"/>
      <c r="V134" s="376"/>
      <c r="W134" s="376"/>
    </row>
    <row r="135" spans="1:25">
      <c r="A135" s="17" t="s">
        <v>27</v>
      </c>
      <c r="B135" s="17"/>
      <c r="C135" s="17"/>
      <c r="D135" s="17"/>
      <c r="E135" s="17"/>
      <c r="F135" s="17"/>
      <c r="G135" s="17"/>
      <c r="H135" s="24" t="e">
        <f t="shared" ref="H135:M135" si="109">H3/H131</f>
        <v>#DIV/0!</v>
      </c>
      <c r="I135" s="24">
        <f t="shared" si="109"/>
        <v>4.5532128777247965E-2</v>
      </c>
      <c r="J135" s="24">
        <f t="shared" si="109"/>
        <v>8.6804816746446106E-2</v>
      </c>
      <c r="K135" s="24">
        <f t="shared" si="109"/>
        <v>0.11831397526627609</v>
      </c>
      <c r="L135" s="24">
        <f t="shared" si="109"/>
        <v>1.0659020423300054</v>
      </c>
      <c r="M135" s="24">
        <f t="shared" si="109"/>
        <v>6.2016737901728112</v>
      </c>
      <c r="N135" s="24">
        <f t="shared" ref="N135" si="110">N3/N131</f>
        <v>34.722158249366316</v>
      </c>
      <c r="O135" s="24">
        <f t="shared" ref="O135:P135" si="111">O3/O131</f>
        <v>104.63104958700261</v>
      </c>
      <c r="P135" s="24">
        <f t="shared" si="111"/>
        <v>0.20615621675524307</v>
      </c>
      <c r="Q135" s="24">
        <f t="shared" ref="Q135" si="112">Q3/Q131</f>
        <v>0.22487992397343248</v>
      </c>
    </row>
    <row r="136" spans="1:25">
      <c r="A136" s="17" t="s">
        <v>28</v>
      </c>
      <c r="B136" s="17"/>
      <c r="C136" s="17"/>
      <c r="D136" s="17"/>
      <c r="E136" s="17"/>
      <c r="F136" s="17"/>
      <c r="G136" s="17"/>
      <c r="H136" s="25" t="e">
        <f t="shared" ref="H136:M136" si="113">H71/H131*100</f>
        <v>#DIV/0!</v>
      </c>
      <c r="I136" s="25">
        <f t="shared" si="113"/>
        <v>5.3473910088292209</v>
      </c>
      <c r="J136" s="25">
        <f t="shared" si="113"/>
        <v>5.5836249349709401</v>
      </c>
      <c r="K136" s="25">
        <f t="shared" si="113"/>
        <v>6.0505178060291671</v>
      </c>
      <c r="L136" s="25">
        <f t="shared" si="113"/>
        <v>44.083762601733987</v>
      </c>
      <c r="M136" s="25">
        <f t="shared" si="113"/>
        <v>481.15542667839151</v>
      </c>
      <c r="N136" s="25">
        <f t="shared" ref="N136" si="114">N71/N131*100</f>
        <v>1106.8936980966735</v>
      </c>
      <c r="O136" s="25">
        <f t="shared" ref="O136:P136" si="115">O71/O131*100</f>
        <v>4779.5960357438262</v>
      </c>
      <c r="P136" s="25">
        <f t="shared" si="115"/>
        <v>12.383299793534722</v>
      </c>
      <c r="Q136" s="25">
        <f t="shared" ref="Q136" si="116">Q71/Q131*100</f>
        <v>10.120362170516731</v>
      </c>
      <c r="R136" s="377"/>
      <c r="S136" s="377"/>
      <c r="T136" s="377"/>
      <c r="U136" s="377"/>
      <c r="V136" s="377"/>
      <c r="W136" s="377"/>
    </row>
    <row r="137" spans="1:25" s="367" customFormat="1">
      <c r="A137" s="58" t="s">
        <v>132</v>
      </c>
      <c r="B137" s="58"/>
      <c r="C137" s="58"/>
      <c r="D137" s="58"/>
      <c r="E137" s="58"/>
      <c r="F137" s="58"/>
      <c r="G137" s="58"/>
      <c r="H137" s="26">
        <v>2014</v>
      </c>
      <c r="I137" s="21"/>
      <c r="J137" s="33"/>
      <c r="K137" s="21"/>
      <c r="L137" s="22"/>
      <c r="M137" s="22"/>
      <c r="N137" s="22"/>
      <c r="O137" s="22"/>
      <c r="P137" s="22"/>
      <c r="Q137" s="22"/>
    </row>
    <row r="138" spans="1:25">
      <c r="A138" s="1" t="s">
        <v>133</v>
      </c>
      <c r="H138" s="80">
        <f t="shared" ref="H138:M138" si="117">H81+H83+H76+H71-H55</f>
        <v>19966248</v>
      </c>
      <c r="I138" s="80">
        <f t="shared" si="117"/>
        <v>11498024</v>
      </c>
      <c r="J138" s="80">
        <f t="shared" si="117"/>
        <v>12237110</v>
      </c>
      <c r="K138" s="80">
        <f t="shared" si="117"/>
        <v>14143433</v>
      </c>
      <c r="L138" s="80">
        <f t="shared" si="117"/>
        <v>87694710</v>
      </c>
      <c r="M138" s="80">
        <f t="shared" si="117"/>
        <v>1129705127</v>
      </c>
      <c r="N138" s="80">
        <f>N81+N83+N76+N71-N55</f>
        <v>2500230098</v>
      </c>
      <c r="O138" s="80">
        <f>O81+O83+O76+O71-O55</f>
        <v>6640641000</v>
      </c>
      <c r="P138" s="80">
        <f>P81+P83+P76+P71-P55</f>
        <v>28842849</v>
      </c>
      <c r="Q138" s="80">
        <f>Q81+Q83+Q76+Q71-Q55</f>
        <v>23375982</v>
      </c>
      <c r="R138" s="378"/>
      <c r="S138" s="378"/>
      <c r="T138" s="378"/>
      <c r="U138" s="378"/>
      <c r="V138" s="378"/>
      <c r="W138" s="378"/>
      <c r="X138" s="378"/>
      <c r="Y138" s="378"/>
    </row>
    <row r="140" spans="1:25">
      <c r="A140" s="1" t="s">
        <v>121</v>
      </c>
      <c r="K140" s="36"/>
      <c r="M140" s="36"/>
      <c r="N140" s="36">
        <v>-213752666</v>
      </c>
      <c r="O140" s="36">
        <f>O125</f>
        <v>-3936732000</v>
      </c>
      <c r="P140" s="36">
        <f>P125</f>
        <v>-4746695</v>
      </c>
      <c r="Q140" s="11">
        <f>Q125</f>
        <v>-4150995</v>
      </c>
    </row>
    <row r="141" spans="1:25">
      <c r="A141" s="1" t="s">
        <v>419</v>
      </c>
      <c r="N141" s="80">
        <f>-N7</f>
        <v>161998341</v>
      </c>
      <c r="O141" s="80">
        <f>-O7</f>
        <v>739978000</v>
      </c>
      <c r="P141" s="80">
        <f>-P7</f>
        <v>1812097</v>
      </c>
      <c r="Q141" s="80">
        <f>-Q7</f>
        <v>4342126</v>
      </c>
    </row>
    <row r="142" spans="1:25">
      <c r="A142" s="1" t="s">
        <v>434</v>
      </c>
      <c r="N142" s="80">
        <f>-(N49-M49)-(N52-M52)+(N82-M82)</f>
        <v>-242644320</v>
      </c>
      <c r="O142" s="80">
        <f>-(O49-N49)-(O52-N52)+(O82-N82)</f>
        <v>3690981108</v>
      </c>
      <c r="P142" s="80">
        <f>-(P49-O49)-(P52-O52)+(P82-O82)</f>
        <v>-3181159189</v>
      </c>
      <c r="Q142" s="80">
        <f>-(Q49-P49)-(Q52-P52)+(Q82-P82)</f>
        <v>6710201</v>
      </c>
    </row>
    <row r="143" spans="1:25">
      <c r="A143" s="1" t="s">
        <v>269</v>
      </c>
      <c r="N143" s="399">
        <f>SUM(N140:N142)</f>
        <v>-294398645</v>
      </c>
      <c r="O143" s="399">
        <f>SUM(O140:O142)</f>
        <v>494227108</v>
      </c>
      <c r="P143" s="399">
        <f>SUM(P140:P142)</f>
        <v>-3184093787</v>
      </c>
      <c r="Q143" s="80">
        <f>SUM(Q140:Q142)</f>
        <v>6901332</v>
      </c>
    </row>
    <row r="144" spans="1:25">
      <c r="A144" s="1" t="s">
        <v>271</v>
      </c>
      <c r="N144" s="30">
        <f>N143/N3</f>
        <v>-3.5086143318733977E-2</v>
      </c>
      <c r="O144" s="30">
        <f>O143/O3</f>
        <v>1.9546658205086352E-2</v>
      </c>
      <c r="P144" s="30">
        <f>P143/P3</f>
        <v>-63.91399346835891</v>
      </c>
      <c r="Q144" s="30">
        <f>Q143/Q3</f>
        <v>0.12819651816728106</v>
      </c>
    </row>
  </sheetData>
  <mergeCells count="4">
    <mergeCell ref="A1:A2"/>
    <mergeCell ref="A90:A91"/>
    <mergeCell ref="A128:A129"/>
    <mergeCell ref="A40:A4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45"/>
  <sheetViews>
    <sheetView showGridLines="0" zoomScale="110" zoomScaleNormal="110" workbookViewId="0">
      <pane xSplit="1" topLeftCell="B1" activePane="topRight" state="frozen"/>
      <selection pane="topRight" activeCell="C42" sqref="C42"/>
    </sheetView>
  </sheetViews>
  <sheetFormatPr defaultRowHeight="14.4"/>
  <cols>
    <col min="1" max="1" width="31.88671875" customWidth="1"/>
    <col min="2" max="2" width="15" customWidth="1"/>
    <col min="3" max="3" width="14" customWidth="1"/>
    <col min="4" max="4" width="21.5546875" customWidth="1"/>
    <col min="5" max="5" width="21.6640625" customWidth="1"/>
    <col min="6" max="7" width="20.88671875" bestFit="1" customWidth="1"/>
    <col min="8" max="8" width="21.5546875" customWidth="1"/>
    <col min="9" max="9" width="20.44140625" customWidth="1"/>
    <col min="10" max="10" width="14.5546875" customWidth="1"/>
    <col min="11" max="11" width="13.33203125" customWidth="1"/>
    <col min="12" max="12" width="16.6640625" customWidth="1"/>
    <col min="13" max="13" width="16.109375" customWidth="1"/>
    <col min="14" max="14" width="20.44140625" customWidth="1"/>
    <col min="15" max="15" width="22.88671875" customWidth="1"/>
    <col min="16" max="16" width="13.44140625" customWidth="1"/>
    <col min="17" max="20" width="13.5546875" bestFit="1" customWidth="1"/>
    <col min="21" max="21" width="10.6640625" bestFit="1" customWidth="1"/>
  </cols>
  <sheetData>
    <row r="1" spans="1:20" ht="15">
      <c r="A1" s="111"/>
      <c r="B1" s="111"/>
      <c r="C1" s="111"/>
      <c r="D1" s="221"/>
      <c r="E1" s="221"/>
      <c r="F1" s="221"/>
      <c r="G1" s="221"/>
      <c r="H1" s="221"/>
      <c r="I1" s="221"/>
      <c r="J1" s="111"/>
      <c r="K1" s="415"/>
      <c r="L1" s="111"/>
      <c r="M1" s="111"/>
      <c r="N1" s="111"/>
      <c r="O1" s="111"/>
      <c r="P1" s="111"/>
      <c r="Q1" s="111"/>
      <c r="R1" s="111"/>
    </row>
    <row r="2" spans="1:20" ht="15">
      <c r="A2" s="111"/>
      <c r="B2" s="111"/>
      <c r="C2" s="111"/>
      <c r="D2" s="111"/>
      <c r="E2" s="111"/>
      <c r="F2" s="111"/>
      <c r="G2" s="111"/>
      <c r="H2" s="451"/>
      <c r="I2" s="451"/>
      <c r="J2" s="451"/>
      <c r="K2" s="451"/>
      <c r="L2" s="406" t="s">
        <v>427</v>
      </c>
      <c r="M2" s="407" t="s">
        <v>259</v>
      </c>
      <c r="N2" s="227" t="s">
        <v>260</v>
      </c>
      <c r="O2" s="407" t="s">
        <v>261</v>
      </c>
      <c r="Q2" s="423"/>
      <c r="R2" s="111"/>
      <c r="S2" s="111"/>
      <c r="T2" s="111"/>
    </row>
    <row r="3" spans="1:20" ht="15">
      <c r="A3" s="224" t="s">
        <v>120</v>
      </c>
      <c r="B3" s="225">
        <v>2013</v>
      </c>
      <c r="C3" s="225">
        <v>2015</v>
      </c>
      <c r="D3" s="225">
        <v>2016</v>
      </c>
      <c r="E3" s="225">
        <v>2017</v>
      </c>
      <c r="F3" s="225">
        <v>2018</v>
      </c>
      <c r="G3" s="225">
        <v>2019</v>
      </c>
      <c r="H3" s="225">
        <v>2020</v>
      </c>
      <c r="I3" s="225">
        <v>2021</v>
      </c>
      <c r="J3" s="225">
        <v>2022</v>
      </c>
      <c r="K3" s="225">
        <v>2023</v>
      </c>
      <c r="L3" s="218"/>
      <c r="M3" s="401"/>
      <c r="N3" s="111"/>
      <c r="O3" s="404"/>
      <c r="Q3" s="415"/>
      <c r="R3" s="111"/>
      <c r="S3" s="111"/>
      <c r="T3" s="111"/>
    </row>
    <row r="4" spans="1:20" ht="15">
      <c r="A4" s="140"/>
      <c r="B4" s="111"/>
      <c r="C4" s="111"/>
      <c r="D4" s="111"/>
      <c r="E4" s="111"/>
      <c r="F4" s="111"/>
      <c r="G4" s="111"/>
      <c r="H4" s="111"/>
      <c r="I4" s="111"/>
      <c r="J4" s="111"/>
      <c r="K4" s="111"/>
      <c r="L4" s="449"/>
      <c r="M4" s="401"/>
      <c r="N4" s="111"/>
      <c r="O4" s="401"/>
      <c r="Q4" s="143"/>
      <c r="R4" s="111"/>
      <c r="S4" s="111"/>
      <c r="T4" s="111"/>
    </row>
    <row r="5" spans="1:20" ht="15">
      <c r="A5" s="141" t="s">
        <v>129</v>
      </c>
      <c r="B5" s="408">
        <f>(K5/C5)^(1/5)-1</f>
        <v>0.3991635972492209</v>
      </c>
      <c r="C5" s="142">
        <f>'Financials FY'!I3</f>
        <v>10039549</v>
      </c>
      <c r="D5" s="142">
        <f>'Financials FY'!J3</f>
        <v>19139918</v>
      </c>
      <c r="E5" s="142">
        <f>'Financials FY'!K3</f>
        <v>27451196</v>
      </c>
      <c r="F5" s="142">
        <f>'Financials FY'!L3</f>
        <v>248549590</v>
      </c>
      <c r="G5" s="142">
        <f>'Financials FY'!M3</f>
        <v>1498657461</v>
      </c>
      <c r="H5" s="142">
        <f>'Financials FY'!N3</f>
        <v>8390738256</v>
      </c>
      <c r="I5" s="142">
        <f>'Financials FY'!O3</f>
        <v>25284481000</v>
      </c>
      <c r="J5" s="142">
        <f>'Financials FY'!P3</f>
        <v>49818414</v>
      </c>
      <c r="K5" s="142">
        <f>'Financials FY'!Q3</f>
        <v>53834005</v>
      </c>
      <c r="L5" s="400">
        <f>'Financials HY'!I3</f>
        <v>31510454</v>
      </c>
      <c r="M5" s="402">
        <f>K5*(1+M6)</f>
        <v>57112495.9045</v>
      </c>
      <c r="N5" s="111"/>
      <c r="O5" s="405"/>
      <c r="Q5" s="143"/>
      <c r="R5" s="111"/>
      <c r="S5" s="111"/>
      <c r="T5" s="111"/>
    </row>
    <row r="6" spans="1:20" ht="15">
      <c r="A6" s="141" t="s">
        <v>262</v>
      </c>
      <c r="B6" s="126"/>
      <c r="C6" s="126"/>
      <c r="D6" s="126">
        <f t="shared" ref="D6:E6" si="0">(D5-C5)/C5</f>
        <v>0.90645197309161996</v>
      </c>
      <c r="E6" s="126">
        <f t="shared" si="0"/>
        <v>0.43423791052814331</v>
      </c>
      <c r="F6" s="126">
        <f t="shared" ref="F6" si="1">(F5-E5)/E5</f>
        <v>8.0542353783055578</v>
      </c>
      <c r="G6" s="126">
        <f t="shared" ref="G6" si="2">(G5-F5)/F5</f>
        <v>5.0296114791418489</v>
      </c>
      <c r="H6" s="126">
        <f t="shared" ref="H6" si="3">(H5-G5)/G5</f>
        <v>4.5988366083342109</v>
      </c>
      <c r="I6" s="126">
        <f t="shared" ref="I6" si="4">(I5-H5)/H5</f>
        <v>2.0133797800115767</v>
      </c>
      <c r="J6" s="126">
        <f t="shared" ref="J6" si="5">(J5-I5)/I5</f>
        <v>-0.99802968413707993</v>
      </c>
      <c r="K6" s="126">
        <f t="shared" ref="K6" si="6">(K5-J5)/J5</f>
        <v>8.0604553167830675E-2</v>
      </c>
      <c r="L6" s="351">
        <f>('Financials HY'!I3-'Financials HY'!H3)/'Financials HY'!H3</f>
        <v>0.30483792229232742</v>
      </c>
      <c r="M6" s="403">
        <f>(1+Q6)*(1+Q7)-1</f>
        <v>6.0899999999999954E-2</v>
      </c>
      <c r="N6" s="143">
        <v>0.08</v>
      </c>
      <c r="O6" s="403">
        <v>7.0000000000000007E-2</v>
      </c>
      <c r="P6" t="s">
        <v>435</v>
      </c>
      <c r="Q6" s="143">
        <v>0.03</v>
      </c>
      <c r="R6" s="111"/>
      <c r="S6" s="111"/>
      <c r="T6" s="111"/>
    </row>
    <row r="7" spans="1:20" ht="15">
      <c r="A7" s="141" t="s">
        <v>68</v>
      </c>
      <c r="B7" s="142"/>
      <c r="C7" s="142">
        <f>'Financials FY'!I10</f>
        <v>-1354722</v>
      </c>
      <c r="D7" s="142">
        <f>'Financials FY'!J10</f>
        <v>-2685172</v>
      </c>
      <c r="E7" s="142">
        <f>'Financials FY'!K10</f>
        <v>-2946075</v>
      </c>
      <c r="F7" s="142">
        <f>'Financials FY'!L10</f>
        <v>11596451</v>
      </c>
      <c r="G7" s="142">
        <f>'Financials FY'!M10</f>
        <v>402731168</v>
      </c>
      <c r="H7" s="142">
        <f>'Financials FY'!N10</f>
        <v>1567387720</v>
      </c>
      <c r="I7" s="142">
        <f>'Financials FY'!O10</f>
        <v>4663423000</v>
      </c>
      <c r="J7" s="142">
        <f>'Financials FY'!P10</f>
        <v>12367050</v>
      </c>
      <c r="K7" s="142">
        <f>'Financials FY'!Q10</f>
        <v>8237104</v>
      </c>
      <c r="L7" s="402">
        <f>'Financials HY'!I13</f>
        <v>5036750</v>
      </c>
      <c r="M7" s="401"/>
      <c r="N7" s="111"/>
      <c r="O7" s="405"/>
      <c r="P7" t="s">
        <v>436</v>
      </c>
      <c r="Q7" s="143">
        <v>0.03</v>
      </c>
      <c r="R7" s="111"/>
      <c r="S7" s="111"/>
      <c r="T7" s="111"/>
    </row>
    <row r="8" spans="1:20" ht="15">
      <c r="A8" s="141" t="s">
        <v>263</v>
      </c>
      <c r="B8" s="408"/>
      <c r="C8" s="216">
        <f t="shared" ref="C8:E8" si="7">C7/C5</f>
        <v>-0.13493853160136973</v>
      </c>
      <c r="D8" s="216">
        <f t="shared" si="7"/>
        <v>-0.14029171911812788</v>
      </c>
      <c r="E8" s="216">
        <f t="shared" si="7"/>
        <v>-0.10732046064586767</v>
      </c>
      <c r="F8" s="216">
        <f t="shared" ref="F8:G8" si="8">F7/F5</f>
        <v>4.665648814789837E-2</v>
      </c>
      <c r="G8" s="216">
        <f t="shared" si="8"/>
        <v>0.26872796384790426</v>
      </c>
      <c r="H8" s="216">
        <f t="shared" ref="H8" si="9">H7/H5</f>
        <v>0.18679973944833778</v>
      </c>
      <c r="I8" s="216">
        <f t="shared" ref="I8:K8" si="10">I7/I5</f>
        <v>0.18443815398069668</v>
      </c>
      <c r="J8" s="216">
        <f t="shared" si="10"/>
        <v>0.24824254742433188</v>
      </c>
      <c r="K8" s="216">
        <f t="shared" si="10"/>
        <v>0.15300931075070487</v>
      </c>
      <c r="L8" s="424">
        <f>L7/L5</f>
        <v>0.15984377756029791</v>
      </c>
      <c r="M8" s="403">
        <v>0.15</v>
      </c>
      <c r="N8" s="143">
        <v>0.15</v>
      </c>
      <c r="O8" s="424">
        <v>0.15</v>
      </c>
      <c r="Q8" s="111"/>
      <c r="R8" s="111"/>
      <c r="S8" s="111"/>
      <c r="T8" s="111"/>
    </row>
    <row r="9" spans="1:20" ht="15">
      <c r="A9" s="141" t="s">
        <v>264</v>
      </c>
      <c r="B9" s="408">
        <f>(K9/C9)^(1/5)-1</f>
        <v>0.15246920815277676</v>
      </c>
      <c r="C9" s="145">
        <f>'Financials FY'!I138</f>
        <v>11498024</v>
      </c>
      <c r="D9" s="145">
        <f>'Financials FY'!J138</f>
        <v>12237110</v>
      </c>
      <c r="E9" s="145">
        <f>'Financials FY'!K138</f>
        <v>14143433</v>
      </c>
      <c r="F9" s="145">
        <f>'Financials FY'!L138</f>
        <v>87694710</v>
      </c>
      <c r="G9" s="145">
        <f>'Financials FY'!M138</f>
        <v>1129705127</v>
      </c>
      <c r="H9" s="145">
        <f>'Financials FY'!N138</f>
        <v>2500230098</v>
      </c>
      <c r="I9" s="145">
        <f>'Financials FY'!O138</f>
        <v>6640641000</v>
      </c>
      <c r="J9" s="145">
        <f>'Financials FY'!P138</f>
        <v>28842849</v>
      </c>
      <c r="K9" s="145">
        <f>'Financials FY'!Q138</f>
        <v>23375982</v>
      </c>
      <c r="L9" s="219"/>
      <c r="M9" s="403"/>
      <c r="N9" s="143"/>
      <c r="O9" s="405"/>
      <c r="Q9" s="111"/>
      <c r="R9" s="111"/>
      <c r="S9" s="111"/>
      <c r="T9" s="111"/>
    </row>
    <row r="10" spans="1:20" ht="15">
      <c r="A10" s="141" t="s">
        <v>442</v>
      </c>
      <c r="B10" s="409">
        <f>AVERAGE(C10:D10)</f>
        <v>1.2186211904905679</v>
      </c>
      <c r="C10" s="126">
        <f t="shared" ref="C10:E10" si="11">C5/C9</f>
        <v>0.87315429155479241</v>
      </c>
      <c r="D10" s="126">
        <f t="shared" si="11"/>
        <v>1.5640880894263434</v>
      </c>
      <c r="E10" s="126">
        <f t="shared" si="11"/>
        <v>1.9409146280114595</v>
      </c>
      <c r="F10" s="126">
        <f t="shared" ref="F10:G10" si="12">F5/F9</f>
        <v>2.8342597860235812</v>
      </c>
      <c r="G10" s="126">
        <f t="shared" si="12"/>
        <v>1.3265917142288051</v>
      </c>
      <c r="H10" s="126">
        <f t="shared" ref="H10" si="13">H5/H9</f>
        <v>3.3559864200946836</v>
      </c>
      <c r="I10" s="126">
        <f t="shared" ref="I10:K10" si="14">I5/I9</f>
        <v>3.8075362001951318</v>
      </c>
      <c r="J10" s="126">
        <f t="shared" si="14"/>
        <v>1.7272362380013153</v>
      </c>
      <c r="K10" s="126">
        <f t="shared" si="14"/>
        <v>2.3029622883864302</v>
      </c>
      <c r="L10" s="220"/>
      <c r="M10" s="411">
        <v>0.05</v>
      </c>
      <c r="N10" s="447">
        <v>0.05</v>
      </c>
      <c r="O10" s="448">
        <v>0.05</v>
      </c>
      <c r="Q10" s="111"/>
      <c r="R10" s="111"/>
      <c r="S10" s="111"/>
      <c r="T10" s="111"/>
    </row>
    <row r="11" spans="1:20" ht="15">
      <c r="A11" s="141" t="s">
        <v>265</v>
      </c>
      <c r="B11" s="126"/>
      <c r="C11" s="126">
        <f>C7*(1-'Financials FY'!I39)/C9</f>
        <v>-5.5644777883726078E-2</v>
      </c>
      <c r="D11" s="126">
        <f>D7*(1-'Financials FY'!J39)/D9</f>
        <v>-0.23528619601643075</v>
      </c>
      <c r="E11" s="126">
        <f>E7*(1-'Financials FY'!K39)/E9</f>
        <v>-0.24105918157506773</v>
      </c>
      <c r="F11" s="126">
        <f>F7*(1-'Financials FY'!L39)/F9</f>
        <v>0.11516595417842586</v>
      </c>
      <c r="G11" s="126">
        <f>G7*(1-'Financials FY'!M39)/G9</f>
        <v>0.16287876880413824</v>
      </c>
      <c r="H11" s="126">
        <f>H7*(1-'Financials FY'!N39)/H9</f>
        <v>0.56832111976061084</v>
      </c>
      <c r="I11" s="126">
        <f>I7*(1-'Financials FY'!O39)/I9</f>
        <v>0.5114623172905578</v>
      </c>
      <c r="J11" s="126">
        <f>J7*(1-'Financials FY'!P39)/J9</f>
        <v>0.40013096143366328</v>
      </c>
      <c r="K11" s="126">
        <f>K7*(1-'Financials FY'!Q39)/K9</f>
        <v>0.33782344568340855</v>
      </c>
      <c r="L11" s="222"/>
      <c r="M11" s="403"/>
      <c r="N11" s="143"/>
      <c r="O11" s="403">
        <v>0.15</v>
      </c>
      <c r="Q11" s="111"/>
      <c r="R11" s="111"/>
      <c r="S11" s="111"/>
      <c r="T11" s="111"/>
    </row>
    <row r="12" spans="1:20" ht="15">
      <c r="A12" s="141" t="s">
        <v>266</v>
      </c>
      <c r="B12" s="126"/>
      <c r="C12" s="126"/>
      <c r="D12" s="126"/>
      <c r="E12" s="126"/>
      <c r="F12" s="126"/>
      <c r="G12" s="126"/>
      <c r="H12" s="126"/>
      <c r="I12" s="126"/>
      <c r="J12" s="126"/>
      <c r="K12" s="126"/>
      <c r="L12" s="223"/>
      <c r="M12" s="410">
        <f>WACC</f>
        <v>0.13379250816644492</v>
      </c>
      <c r="N12" s="425">
        <v>0.12</v>
      </c>
      <c r="O12" s="410">
        <v>0.12</v>
      </c>
      <c r="Q12" s="111"/>
      <c r="R12" s="111"/>
      <c r="S12" s="111"/>
      <c r="T12" s="111"/>
    </row>
    <row r="13" spans="1:20" ht="15">
      <c r="A13" s="111" t="s">
        <v>275</v>
      </c>
      <c r="B13" s="126"/>
      <c r="C13" s="126"/>
      <c r="D13" s="126">
        <f t="shared" ref="D13" si="15">(D7-C7)/C7</f>
        <v>0.98208340899461288</v>
      </c>
      <c r="E13" s="126">
        <f t="shared" ref="E13" si="16">(E7-D7)/D7</f>
        <v>9.7164352972547011E-2</v>
      </c>
      <c r="F13" s="126">
        <f t="shared" ref="F13" si="17">(F7-E7)/E7</f>
        <v>-4.9362375363831541</v>
      </c>
      <c r="G13" s="126">
        <f t="shared" ref="G13" si="18">(G7-F7)/F7</f>
        <v>33.728829363397473</v>
      </c>
      <c r="H13" s="126">
        <f t="shared" ref="H13" si="19">(H7-G7)/G7</f>
        <v>2.8918957471898477</v>
      </c>
      <c r="I13" s="126">
        <f t="shared" ref="I13" si="20">(I7-H7)/H7</f>
        <v>1.9752836139356764</v>
      </c>
      <c r="J13" s="126">
        <f t="shared" ref="J13" si="21">(J7-I7)/I7</f>
        <v>-0.99734807457955243</v>
      </c>
      <c r="K13" s="126">
        <f t="shared" ref="K13" si="22">(K7-J7)/J7</f>
        <v>-0.33394754610032301</v>
      </c>
      <c r="L13" s="143"/>
      <c r="M13" s="143"/>
      <c r="N13" s="143"/>
      <c r="O13" s="144"/>
      <c r="Q13" s="111"/>
      <c r="R13" s="111"/>
      <c r="S13" s="111"/>
      <c r="T13" s="111"/>
    </row>
    <row r="14" spans="1:20" ht="15">
      <c r="A14" s="146"/>
      <c r="B14" s="111"/>
      <c r="C14" s="111"/>
      <c r="D14" s="111"/>
      <c r="E14" s="111"/>
      <c r="F14" s="111"/>
      <c r="G14" s="111"/>
      <c r="H14" s="111"/>
      <c r="I14" s="111"/>
      <c r="J14" s="111"/>
      <c r="K14" s="111"/>
      <c r="L14" s="111"/>
      <c r="M14" s="111"/>
      <c r="N14" s="111"/>
      <c r="O14" s="111"/>
      <c r="P14" s="111"/>
      <c r="Q14" s="111"/>
      <c r="R14" s="111"/>
      <c r="S14" s="111"/>
    </row>
    <row r="15" spans="1:20" ht="15">
      <c r="A15" s="226"/>
      <c r="B15" s="227">
        <v>2023</v>
      </c>
      <c r="C15" s="227">
        <v>2024</v>
      </c>
      <c r="D15" s="227">
        <v>2025</v>
      </c>
      <c r="E15" s="227">
        <v>2026</v>
      </c>
      <c r="F15" s="227">
        <v>2027</v>
      </c>
      <c r="G15" s="227">
        <v>2028</v>
      </c>
      <c r="H15" s="227">
        <v>2029</v>
      </c>
      <c r="I15" s="227">
        <v>2030</v>
      </c>
      <c r="J15" s="227">
        <v>2031</v>
      </c>
      <c r="K15" s="227">
        <v>2032</v>
      </c>
      <c r="L15" s="228" t="s">
        <v>267</v>
      </c>
      <c r="M15" s="143"/>
      <c r="N15" s="111"/>
      <c r="O15" s="430"/>
      <c r="P15" s="111"/>
    </row>
    <row r="16" spans="1:20" ht="15">
      <c r="A16" s="141" t="s">
        <v>2</v>
      </c>
      <c r="B16" s="147">
        <f>M5</f>
        <v>57112495.9045</v>
      </c>
      <c r="C16" s="147">
        <f t="shared" ref="C16:K16" si="23">B16*(1+$N$6)</f>
        <v>61681495.576860003</v>
      </c>
      <c r="D16" s="147">
        <f t="shared" si="23"/>
        <v>66616015.223008811</v>
      </c>
      <c r="E16" s="147">
        <f t="shared" si="23"/>
        <v>71945296.440849528</v>
      </c>
      <c r="F16" s="147">
        <f t="shared" si="23"/>
        <v>77700920.156117499</v>
      </c>
      <c r="G16" s="147">
        <f t="shared" si="23"/>
        <v>83916993.768606901</v>
      </c>
      <c r="H16" s="147">
        <f t="shared" si="23"/>
        <v>90630353.270095453</v>
      </c>
      <c r="I16" s="147">
        <f t="shared" si="23"/>
        <v>97880781.5317031</v>
      </c>
      <c r="J16" s="147">
        <f t="shared" si="23"/>
        <v>105711244.05423935</v>
      </c>
      <c r="K16" s="147">
        <f t="shared" si="23"/>
        <v>114168143.5785785</v>
      </c>
      <c r="L16" s="147">
        <f>K16*(1+$O$6)</f>
        <v>122159913.629079</v>
      </c>
      <c r="M16" s="147"/>
      <c r="N16" s="111"/>
      <c r="O16" s="431"/>
      <c r="P16" s="111"/>
    </row>
    <row r="17" spans="1:16" ht="15">
      <c r="A17" s="148" t="s">
        <v>68</v>
      </c>
      <c r="B17" s="149">
        <f>B16*M8</f>
        <v>8566874.385675</v>
      </c>
      <c r="C17" s="149">
        <f t="shared" ref="C17:K17" si="24">C16*$N$8</f>
        <v>9252224.3365289997</v>
      </c>
      <c r="D17" s="149">
        <f t="shared" si="24"/>
        <v>9992402.2834513206</v>
      </c>
      <c r="E17" s="149">
        <f t="shared" si="24"/>
        <v>10791794.466127429</v>
      </c>
      <c r="F17" s="149">
        <f t="shared" si="24"/>
        <v>11655138.023417624</v>
      </c>
      <c r="G17" s="149">
        <f t="shared" si="24"/>
        <v>12587549.065291034</v>
      </c>
      <c r="H17" s="149">
        <f t="shared" si="24"/>
        <v>13594552.990514318</v>
      </c>
      <c r="I17" s="149">
        <f t="shared" si="24"/>
        <v>14682117.229755465</v>
      </c>
      <c r="J17" s="149">
        <f t="shared" si="24"/>
        <v>15856686.608135901</v>
      </c>
      <c r="K17" s="149">
        <f t="shared" si="24"/>
        <v>17125221.536786776</v>
      </c>
      <c r="L17" s="149">
        <f>L16*$O$6</f>
        <v>8551193.9540355299</v>
      </c>
      <c r="M17" s="149"/>
      <c r="N17" s="111"/>
      <c r="O17" s="431"/>
      <c r="P17" s="423"/>
    </row>
    <row r="18" spans="1:16" ht="15.6" thickBot="1">
      <c r="A18" s="150" t="s">
        <v>268</v>
      </c>
      <c r="B18" s="151">
        <f t="shared" ref="B18:J18" si="25">B17*(1-0.2475)</f>
        <v>6446572.9752204372</v>
      </c>
      <c r="C18" s="151">
        <f t="shared" si="25"/>
        <v>6962298.8132380722</v>
      </c>
      <c r="D18" s="151">
        <f t="shared" si="25"/>
        <v>7519282.7182971183</v>
      </c>
      <c r="E18" s="151">
        <f t="shared" si="25"/>
        <v>8120825.3357608896</v>
      </c>
      <c r="F18" s="151">
        <f t="shared" si="25"/>
        <v>8770491.3626217619</v>
      </c>
      <c r="G18" s="151">
        <f>G17*(1-0.2475)</f>
        <v>9472130.671631502</v>
      </c>
      <c r="H18" s="151">
        <f t="shared" si="25"/>
        <v>10229901.125362024</v>
      </c>
      <c r="I18" s="151">
        <f t="shared" si="25"/>
        <v>11048293.215390986</v>
      </c>
      <c r="J18" s="151">
        <f t="shared" si="25"/>
        <v>11932156.672622265</v>
      </c>
      <c r="K18" s="151">
        <f>K17*(1-0.2475)</f>
        <v>12886729.206432048</v>
      </c>
      <c r="L18" s="151">
        <f>L17*(1-0.2475)</f>
        <v>6434773.450411736</v>
      </c>
      <c r="M18" s="151"/>
      <c r="N18" s="111"/>
      <c r="O18" s="431"/>
      <c r="P18" s="111"/>
    </row>
    <row r="19" spans="1:16" ht="16.2" thickTop="1" thickBot="1">
      <c r="A19" s="111" t="s">
        <v>269</v>
      </c>
      <c r="B19" s="151">
        <f>B16*M10</f>
        <v>2855624.795225</v>
      </c>
      <c r="C19" s="151">
        <f t="shared" ref="C19:J19" si="26">C16*$N$10</f>
        <v>3084074.7788430005</v>
      </c>
      <c r="D19" s="151">
        <f t="shared" si="26"/>
        <v>3330800.7611504407</v>
      </c>
      <c r="E19" s="151">
        <f t="shared" si="26"/>
        <v>3597264.8220424764</v>
      </c>
      <c r="F19" s="151">
        <f t="shared" si="26"/>
        <v>3885046.007805875</v>
      </c>
      <c r="G19" s="151">
        <f t="shared" si="26"/>
        <v>4195849.6884303456</v>
      </c>
      <c r="H19" s="151">
        <f t="shared" si="26"/>
        <v>4531517.6635047728</v>
      </c>
      <c r="I19" s="151">
        <f t="shared" si="26"/>
        <v>4894039.076585155</v>
      </c>
      <c r="J19" s="151">
        <f t="shared" si="26"/>
        <v>5285562.2027119678</v>
      </c>
      <c r="K19" s="151">
        <f>K16*$N$10</f>
        <v>5708407.1789289257</v>
      </c>
      <c r="L19" s="426">
        <f>L16*O10</f>
        <v>6107995.6814539507</v>
      </c>
      <c r="M19" s="151"/>
      <c r="N19" s="111"/>
      <c r="O19" s="431"/>
      <c r="P19" s="111"/>
    </row>
    <row r="20" spans="1:16" s="361" customFormat="1" ht="15.6" thickTop="1">
      <c r="A20" s="140" t="s">
        <v>128</v>
      </c>
      <c r="B20" s="360">
        <f>B18-B19</f>
        <v>3590948.1799954372</v>
      </c>
      <c r="C20" s="360">
        <f t="shared" ref="C20:J20" si="27">C18-C19</f>
        <v>3878224.0343950717</v>
      </c>
      <c r="D20" s="360">
        <f t="shared" si="27"/>
        <v>4188481.9571466777</v>
      </c>
      <c r="E20" s="360">
        <f t="shared" si="27"/>
        <v>4523560.5137184132</v>
      </c>
      <c r="F20" s="360">
        <f t="shared" si="27"/>
        <v>4885445.3548158873</v>
      </c>
      <c r="G20" s="360">
        <f t="shared" si="27"/>
        <v>5276280.9832011564</v>
      </c>
      <c r="H20" s="360">
        <f t="shared" si="27"/>
        <v>5698383.4618572509</v>
      </c>
      <c r="I20" s="360">
        <f t="shared" si="27"/>
        <v>6154254.1388058309</v>
      </c>
      <c r="J20" s="360">
        <f t="shared" si="27"/>
        <v>6646594.4699102975</v>
      </c>
      <c r="K20" s="360">
        <f>K18-K19</f>
        <v>7178322.0275031226</v>
      </c>
      <c r="L20" s="360">
        <f>L18-L19</f>
        <v>326777.76895778533</v>
      </c>
      <c r="M20" s="360"/>
      <c r="N20" s="117"/>
      <c r="O20" s="428"/>
      <c r="P20" s="117"/>
    </row>
    <row r="21" spans="1:16" ht="15.6" thickBot="1">
      <c r="A21" s="152" t="s">
        <v>270</v>
      </c>
      <c r="B21" s="396">
        <f>1+M12</f>
        <v>1.1337925081664448</v>
      </c>
      <c r="C21" s="396">
        <f>B21*(1+N12)</f>
        <v>1.2698476091464184</v>
      </c>
      <c r="D21" s="396">
        <f t="shared" ref="D21:H21" si="28">C21*(1+$O$12)</f>
        <v>1.4222293222439888</v>
      </c>
      <c r="E21" s="396">
        <f t="shared" si="28"/>
        <v>1.5928968409132676</v>
      </c>
      <c r="F21" s="396">
        <f t="shared" si="28"/>
        <v>1.7840444618228599</v>
      </c>
      <c r="G21" s="396">
        <f t="shared" si="28"/>
        <v>1.9981297972416032</v>
      </c>
      <c r="H21" s="396">
        <f t="shared" si="28"/>
        <v>2.2379053729105958</v>
      </c>
      <c r="I21" s="396">
        <f t="shared" ref="I21" si="29">H21*(1+$O$12)</f>
        <v>2.5064540176598675</v>
      </c>
      <c r="J21" s="396">
        <f t="shared" ref="J21" si="30">I21*(1+$O$12)</f>
        <v>2.8072284997790518</v>
      </c>
      <c r="K21" s="396">
        <f t="shared" ref="K21" si="31">J21*(1+$O$12)</f>
        <v>3.1440959197525382</v>
      </c>
      <c r="L21" s="396">
        <f t="shared" ref="L21" si="32">K21*(1+$O$12)</f>
        <v>3.5213874301228429</v>
      </c>
      <c r="M21" s="153"/>
      <c r="N21" s="111"/>
      <c r="O21" s="111"/>
      <c r="P21" s="111"/>
    </row>
    <row r="22" spans="1:16" ht="15.6" thickTop="1">
      <c r="A22" s="154" t="s">
        <v>271</v>
      </c>
      <c r="B22" s="155">
        <f>B19/B18</f>
        <v>0.44296788482834998</v>
      </c>
      <c r="C22" s="155">
        <f>C19/C18</f>
        <v>0.44296788482835003</v>
      </c>
      <c r="D22" s="155">
        <f t="shared" ref="D22:K22" si="33">D19/D18</f>
        <v>0.44296788482835003</v>
      </c>
      <c r="E22" s="155">
        <f t="shared" si="33"/>
        <v>0.44296788482834998</v>
      </c>
      <c r="F22" s="155">
        <f t="shared" si="33"/>
        <v>0.44296788482834998</v>
      </c>
      <c r="G22" s="155">
        <f t="shared" si="33"/>
        <v>0.44296788482835009</v>
      </c>
      <c r="H22" s="155">
        <f t="shared" si="33"/>
        <v>0.44296788482834998</v>
      </c>
      <c r="I22" s="155">
        <f t="shared" si="33"/>
        <v>0.44296788482835003</v>
      </c>
      <c r="J22" s="155">
        <f t="shared" si="33"/>
        <v>0.44296788482835003</v>
      </c>
      <c r="K22" s="155">
        <f t="shared" si="33"/>
        <v>0.44296788482834998</v>
      </c>
      <c r="L22" s="155">
        <f>O6/L24</f>
        <v>0.77075775304107819</v>
      </c>
      <c r="M22" s="155"/>
      <c r="N22" s="111"/>
      <c r="O22" s="429"/>
      <c r="P22" s="111"/>
    </row>
    <row r="23" spans="1:16" ht="15">
      <c r="A23" s="154" t="s">
        <v>264</v>
      </c>
      <c r="B23" s="427">
        <f>K9+B19</f>
        <v>26231606.795225002</v>
      </c>
      <c r="C23" s="156">
        <f>B23+C19</f>
        <v>29315681.574068002</v>
      </c>
      <c r="D23" s="156">
        <f>C23+D19</f>
        <v>32646482.335218444</v>
      </c>
      <c r="E23" s="156">
        <f>D23+E19</f>
        <v>36243747.157260925</v>
      </c>
      <c r="F23" s="156">
        <f t="shared" ref="F23:K23" si="34">E23+F19</f>
        <v>40128793.165066801</v>
      </c>
      <c r="G23" s="156">
        <f>F23+G19</f>
        <v>44324642.853497148</v>
      </c>
      <c r="H23" s="156">
        <f>G23+H19</f>
        <v>48856160.517001919</v>
      </c>
      <c r="I23" s="156">
        <f t="shared" si="34"/>
        <v>53750199.593587071</v>
      </c>
      <c r="J23" s="156">
        <f t="shared" si="34"/>
        <v>59035761.79629904</v>
      </c>
      <c r="K23" s="156">
        <f t="shared" si="34"/>
        <v>64744168.975227967</v>
      </c>
      <c r="L23" s="156">
        <f>K23+L19</f>
        <v>70852164.656681925</v>
      </c>
      <c r="M23" s="155"/>
      <c r="N23" s="111"/>
      <c r="O23" s="432"/>
      <c r="P23" s="111"/>
    </row>
    <row r="24" spans="1:16" ht="15">
      <c r="A24" s="154" t="s">
        <v>11</v>
      </c>
      <c r="B24" s="155">
        <f>B18/B23</f>
        <v>0.24575593197721771</v>
      </c>
      <c r="C24" s="155">
        <f>C18/C23</f>
        <v>0.23749401137569889</v>
      </c>
      <c r="D24" s="155">
        <f t="shared" ref="D24:L24" si="35">D18/D23</f>
        <v>0.23032443866656499</v>
      </c>
      <c r="E24" s="155">
        <f>E18/E23</f>
        <v>0.22406141673278934</v>
      </c>
      <c r="F24" s="155">
        <f t="shared" si="35"/>
        <v>0.2185585628390318</v>
      </c>
      <c r="G24" s="155">
        <f>G18/G23</f>
        <v>0.21369897334399313</v>
      </c>
      <c r="H24" s="155">
        <f t="shared" si="35"/>
        <v>0.20938815119952014</v>
      </c>
      <c r="I24" s="155">
        <f t="shared" si="35"/>
        <v>0.20554887793773247</v>
      </c>
      <c r="J24" s="155">
        <f t="shared" si="35"/>
        <v>0.20211743373099478</v>
      </c>
      <c r="K24" s="155">
        <f t="shared" si="35"/>
        <v>0.19904076939133611</v>
      </c>
      <c r="L24" s="155">
        <f t="shared" si="35"/>
        <v>9.0819715693822287E-2</v>
      </c>
      <c r="M24" s="155"/>
      <c r="N24" s="111"/>
      <c r="O24" s="111"/>
      <c r="P24" s="111"/>
    </row>
    <row r="25" spans="1:16" ht="15">
      <c r="A25" s="111"/>
      <c r="B25" s="111"/>
      <c r="C25" s="111"/>
      <c r="D25" s="111"/>
      <c r="E25" s="111"/>
      <c r="F25" s="111"/>
      <c r="G25" s="111"/>
      <c r="H25" s="111"/>
      <c r="I25" s="111"/>
      <c r="J25" s="111"/>
      <c r="K25" s="111"/>
      <c r="L25" s="157">
        <f>L20/(O12-O6)</f>
        <v>6535555.3791557085</v>
      </c>
      <c r="M25" s="111"/>
      <c r="N25" s="111"/>
      <c r="O25" s="433"/>
      <c r="P25" s="111"/>
    </row>
    <row r="26" spans="1:16" s="364" customFormat="1" ht="15">
      <c r="A26" s="398" t="s">
        <v>128</v>
      </c>
      <c r="B26" s="362">
        <f>B20/B21</f>
        <v>3167200.4834488402</v>
      </c>
      <c r="C26" s="362">
        <f>C20/(1+C21)</f>
        <v>1708583.4391558503</v>
      </c>
      <c r="D26" s="362">
        <f t="shared" ref="D26:J26" si="36">D20/(1+D21)</f>
        <v>1729184.7302328942</v>
      </c>
      <c r="E26" s="362">
        <f t="shared" si="36"/>
        <v>1744597.1788546471</v>
      </c>
      <c r="F26" s="362">
        <f t="shared" si="36"/>
        <v>1754801.4846060076</v>
      </c>
      <c r="G26" s="362">
        <f t="shared" si="36"/>
        <v>1759857.4244702621</v>
      </c>
      <c r="H26" s="362">
        <f t="shared" si="36"/>
        <v>1759898.0839686797</v>
      </c>
      <c r="I26" s="362">
        <f t="shared" si="36"/>
        <v>1755121.8717857446</v>
      </c>
      <c r="J26" s="362">
        <f t="shared" si="36"/>
        <v>1745782.9153926603</v>
      </c>
      <c r="K26" s="362">
        <f>K20/(1+K21)</f>
        <v>1732180.4722926808</v>
      </c>
      <c r="L26" s="363">
        <f>L25/L21</f>
        <v>1855960.3306494784</v>
      </c>
      <c r="M26" s="129"/>
      <c r="N26" s="117"/>
      <c r="O26" s="433"/>
      <c r="P26" s="129"/>
    </row>
    <row r="27" spans="1:16" ht="15">
      <c r="B27" s="67"/>
      <c r="C27" s="67"/>
      <c r="D27" s="67"/>
      <c r="E27" s="67"/>
      <c r="F27" s="67"/>
      <c r="N27" s="111"/>
      <c r="O27" s="434"/>
    </row>
    <row r="28" spans="1:16">
      <c r="B28" s="67"/>
      <c r="C28" s="67"/>
      <c r="D28" s="67"/>
      <c r="E28" s="67"/>
      <c r="F28" s="67"/>
      <c r="O28" s="129"/>
    </row>
    <row r="29" spans="1:16" ht="15">
      <c r="B29" s="63"/>
      <c r="C29" s="63"/>
      <c r="D29" s="63"/>
      <c r="E29" s="63"/>
      <c r="F29" s="63"/>
      <c r="N29" s="111"/>
    </row>
    <row r="30" spans="1:16">
      <c r="A30" s="70" t="s">
        <v>123</v>
      </c>
      <c r="C30" s="70"/>
    </row>
    <row r="31" spans="1:16">
      <c r="A31" s="62" t="s">
        <v>69</v>
      </c>
      <c r="C31" s="217">
        <f>L26</f>
        <v>1855960.3306494784</v>
      </c>
      <c r="E31" s="463"/>
      <c r="F31" s="463"/>
      <c r="G31" s="463"/>
      <c r="H31" s="463"/>
      <c r="I31" s="463"/>
      <c r="J31" s="463"/>
      <c r="K31" s="463"/>
      <c r="L31" s="463"/>
    </row>
    <row r="32" spans="1:16" ht="15.6">
      <c r="A32" t="s">
        <v>126</v>
      </c>
      <c r="C32" s="71">
        <f>SUM(B26:K26)</f>
        <v>18857208.084208269</v>
      </c>
      <c r="E32" s="68"/>
      <c r="F32" s="68"/>
      <c r="G32" s="69"/>
      <c r="H32" s="69"/>
      <c r="I32" s="69"/>
      <c r="J32" s="69"/>
      <c r="K32" s="68"/>
      <c r="L32" s="68"/>
    </row>
    <row r="33" spans="1:14" ht="15" customHeight="1">
      <c r="A33" s="72" t="s">
        <v>124</v>
      </c>
      <c r="C33" s="71">
        <f>'Financials HY'!I38</f>
        <v>2165459</v>
      </c>
      <c r="D33" s="422"/>
      <c r="E33" s="230"/>
      <c r="F33" s="230"/>
      <c r="G33" s="230"/>
      <c r="H33" s="230"/>
      <c r="I33" s="230"/>
      <c r="J33" s="230"/>
      <c r="K33" s="230"/>
      <c r="L33" s="230"/>
      <c r="M33" s="462"/>
      <c r="N33" s="74"/>
    </row>
    <row r="34" spans="1:14">
      <c r="A34" t="s">
        <v>404</v>
      </c>
      <c r="C34" s="71">
        <f>'Financials HY'!I29</f>
        <v>44688</v>
      </c>
      <c r="D34" s="74"/>
      <c r="E34" s="230"/>
      <c r="F34" s="230"/>
      <c r="G34" s="230"/>
      <c r="H34" s="230"/>
      <c r="I34" s="230"/>
      <c r="J34" s="230"/>
      <c r="K34" s="230"/>
      <c r="L34" s="230"/>
      <c r="M34" s="462"/>
      <c r="N34" s="74"/>
    </row>
    <row r="35" spans="1:14" ht="15.6">
      <c r="A35" t="s">
        <v>125</v>
      </c>
      <c r="C35" s="71">
        <f>-('Financials HY'!I64)</f>
        <v>-1265615</v>
      </c>
      <c r="D35" s="75"/>
      <c r="E35" s="230"/>
      <c r="F35" s="230"/>
      <c r="G35" s="231"/>
      <c r="H35" s="231"/>
      <c r="I35" s="231"/>
      <c r="J35" s="231"/>
      <c r="K35" s="230"/>
      <c r="L35" s="230"/>
      <c r="M35" s="462"/>
      <c r="N35" s="75"/>
    </row>
    <row r="36" spans="1:14">
      <c r="A36" t="s">
        <v>130</v>
      </c>
      <c r="C36" s="71">
        <f>'Financials HY'!D53</f>
        <v>0</v>
      </c>
      <c r="D36" s="74"/>
      <c r="E36" s="230"/>
      <c r="F36" s="230"/>
      <c r="G36" s="230"/>
      <c r="H36" s="230"/>
      <c r="I36" s="230"/>
      <c r="J36" s="230"/>
      <c r="K36" s="230"/>
      <c r="L36" s="230"/>
      <c r="M36" s="462"/>
      <c r="N36" s="74"/>
    </row>
    <row r="37" spans="1:14">
      <c r="C37" s="71"/>
      <c r="D37" s="74"/>
      <c r="E37" s="230"/>
      <c r="F37" s="230"/>
      <c r="G37" s="230"/>
      <c r="H37" s="230"/>
      <c r="I37" s="230"/>
      <c r="J37" s="230"/>
      <c r="K37" s="230"/>
      <c r="L37" s="230"/>
      <c r="M37" s="462"/>
      <c r="N37" s="74"/>
    </row>
    <row r="38" spans="1:14">
      <c r="A38" s="64" t="s">
        <v>126</v>
      </c>
      <c r="C38" s="71">
        <f>SUM(C31:C36)</f>
        <v>21657700.414857745</v>
      </c>
      <c r="D38" s="435"/>
      <c r="F38" s="454"/>
    </row>
    <row r="39" spans="1:14">
      <c r="A39" s="62" t="s">
        <v>93</v>
      </c>
      <c r="C39" s="79">
        <v>239390000</v>
      </c>
      <c r="D39" s="436"/>
      <c r="F39" s="452">
        <f>28000000</f>
        <v>28000000</v>
      </c>
      <c r="G39" s="383"/>
    </row>
    <row r="40" spans="1:14">
      <c r="A40" s="65" t="s">
        <v>475</v>
      </c>
      <c r="C40" s="81">
        <f>C38/C39*100</f>
        <v>9.0470363903495326</v>
      </c>
      <c r="D40" s="438"/>
      <c r="E40" s="229"/>
      <c r="F40" s="458">
        <f>F39/C39</f>
        <v>0.1169639500396842</v>
      </c>
      <c r="G40" s="232"/>
      <c r="H40" s="232"/>
      <c r="I40" s="232"/>
      <c r="J40" s="232"/>
      <c r="K40" s="232"/>
      <c r="L40" s="232"/>
    </row>
    <row r="41" spans="1:14">
      <c r="A41" s="62" t="s">
        <v>473</v>
      </c>
      <c r="C41" s="81">
        <f>298/25.28</f>
        <v>11.787974683544304</v>
      </c>
      <c r="D41" s="437"/>
      <c r="E41" s="233"/>
      <c r="F41" s="453"/>
      <c r="G41" s="233"/>
      <c r="H41" s="233"/>
      <c r="I41" s="233"/>
      <c r="J41" s="233"/>
      <c r="K41" s="233"/>
      <c r="L41" s="233"/>
    </row>
    <row r="42" spans="1:14" ht="15" thickBot="1">
      <c r="A42" s="66" t="s">
        <v>474</v>
      </c>
      <c r="C42" s="73">
        <f>1-(C41/C40)</f>
        <v>-0.30296532200517379</v>
      </c>
      <c r="D42" s="73"/>
      <c r="F42" s="383">
        <v>16089596</v>
      </c>
    </row>
    <row r="43" spans="1:14" ht="15" thickTop="1">
      <c r="F43">
        <f>300000000</f>
        <v>300000000</v>
      </c>
    </row>
    <row r="44" spans="1:14">
      <c r="F44" s="386">
        <f>F42/F43</f>
        <v>5.3631986666666666E-2</v>
      </c>
    </row>
    <row r="45" spans="1:14">
      <c r="C45" s="412"/>
    </row>
  </sheetData>
  <mergeCells count="2">
    <mergeCell ref="M33:M37"/>
    <mergeCell ref="E31:L31"/>
  </mergeCells>
  <conditionalFormatting sqref="B19:M19">
    <cfRule type="expression" dxfId="14" priority="5" stopIfTrue="1">
      <formula>B19&gt;=#REF!</formula>
    </cfRule>
    <cfRule type="expression" dxfId="13" priority="6" stopIfTrue="1">
      <formula>B19&lt;#REF!</formula>
    </cfRule>
  </conditionalFormatting>
  <conditionalFormatting sqref="E41:L41">
    <cfRule type="expression" dxfId="12" priority="17">
      <formula>E41&gt;dcf_mos</formula>
    </cfRule>
    <cfRule type="expression" dxfId="11" priority="18">
      <formula>E41&lt;dcf_mos</formula>
    </cfRule>
    <cfRule type="expression" dxfId="10" priority="27">
      <formula>E41&gt;current_price</formula>
    </cfRule>
    <cfRule type="expression" dxfId="9" priority="28">
      <formula>E41&lt;current_price</formula>
    </cfRule>
  </conditionalFormatting>
  <conditionalFormatting sqref="L5:M5">
    <cfRule type="expression" dxfId="8" priority="1" stopIfTrue="1">
      <formula>L5&gt;=#REF!</formula>
    </cfRule>
    <cfRule type="expression" dxfId="7" priority="2" stopIfTrue="1">
      <formula>L5&lt;#REF!</formula>
    </cfRule>
  </conditionalFormatting>
  <conditionalFormatting sqref="O5 B5:K13 O7:O9 L7:L10 B16:M18">
    <cfRule type="expression" dxfId="6" priority="7" stopIfTrue="1">
      <formula>B5&gt;=#REF!</formula>
    </cfRule>
    <cfRule type="expression" dxfId="5" priority="8" stopIfTrue="1">
      <formula>B5&lt;#REF!</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F40"/>
  <sheetViews>
    <sheetView topLeftCell="A14" workbookViewId="0">
      <selection activeCell="C35" sqref="C35"/>
    </sheetView>
  </sheetViews>
  <sheetFormatPr defaultColWidth="8.88671875" defaultRowHeight="12"/>
  <cols>
    <col min="1" max="2" width="8.88671875" style="1"/>
    <col min="3" max="3" width="15.33203125" style="1" customWidth="1"/>
    <col min="4" max="16384" width="8.88671875" style="1"/>
  </cols>
  <sheetData>
    <row r="2" spans="2:6">
      <c r="B2" s="1" t="s">
        <v>73</v>
      </c>
    </row>
    <row r="4" spans="2:6">
      <c r="B4" s="1" t="s">
        <v>72</v>
      </c>
    </row>
    <row r="5" spans="2:6">
      <c r="B5" s="1" t="s">
        <v>74</v>
      </c>
    </row>
    <row r="6" spans="2:6">
      <c r="C6" s="1" t="s">
        <v>75</v>
      </c>
    </row>
    <row r="13" spans="2:6">
      <c r="B13" s="1" t="s">
        <v>272</v>
      </c>
      <c r="C13" s="8"/>
      <c r="E13" s="30">
        <v>0.18</v>
      </c>
    </row>
    <row r="14" spans="2:6">
      <c r="B14" s="1" t="s">
        <v>273</v>
      </c>
      <c r="C14" s="8"/>
      <c r="E14" s="30">
        <v>0.14000000000000001</v>
      </c>
      <c r="F14" s="158" t="s">
        <v>274</v>
      </c>
    </row>
    <row r="15" spans="2:6">
      <c r="B15" s="8" t="s">
        <v>90</v>
      </c>
    </row>
    <row r="17" spans="2:4">
      <c r="B17" s="8" t="s">
        <v>42</v>
      </c>
      <c r="C17" s="13">
        <v>0.15</v>
      </c>
      <c r="D17" s="8" t="s">
        <v>43</v>
      </c>
    </row>
    <row r="18" spans="2:4">
      <c r="B18" s="8" t="s">
        <v>44</v>
      </c>
      <c r="C18" s="4"/>
      <c r="D18" s="8" t="s">
        <v>45</v>
      </c>
    </row>
    <row r="19" spans="2:4">
      <c r="B19" s="8" t="s">
        <v>46</v>
      </c>
      <c r="C19" s="13">
        <v>0.18</v>
      </c>
      <c r="D19" s="8" t="s">
        <v>47</v>
      </c>
    </row>
    <row r="20" spans="2:4">
      <c r="B20" s="8" t="s">
        <v>48</v>
      </c>
      <c r="C20" s="14">
        <f>C17-C19</f>
        <v>-0.03</v>
      </c>
      <c r="D20" s="8" t="s">
        <v>49</v>
      </c>
    </row>
    <row r="21" spans="2:4">
      <c r="B21" s="1" t="s">
        <v>50</v>
      </c>
      <c r="C21" s="4">
        <v>1</v>
      </c>
      <c r="D21" s="8" t="s">
        <v>51</v>
      </c>
    </row>
    <row r="22" spans="2:4">
      <c r="C22" s="8"/>
    </row>
    <row r="23" spans="2:4">
      <c r="B23" s="9" t="s">
        <v>44</v>
      </c>
      <c r="C23" s="10">
        <f>C19+(C20)*C21</f>
        <v>0.15</v>
      </c>
    </row>
    <row r="24" spans="2:4">
      <c r="C24" s="8"/>
    </row>
    <row r="25" spans="2:4">
      <c r="C25" s="8"/>
    </row>
    <row r="26" spans="2:4">
      <c r="C26" s="8"/>
    </row>
    <row r="27" spans="2:4">
      <c r="B27" s="2" t="s">
        <v>80</v>
      </c>
      <c r="C27" s="8"/>
    </row>
    <row r="29" spans="2:4">
      <c r="B29" s="8" t="s">
        <v>52</v>
      </c>
    </row>
    <row r="31" spans="2:4">
      <c r="B31" s="8" t="s">
        <v>44</v>
      </c>
      <c r="C31" s="15">
        <v>0.14000000000000001</v>
      </c>
      <c r="D31" s="8" t="s">
        <v>53</v>
      </c>
    </row>
    <row r="32" spans="2:4">
      <c r="B32" s="8" t="s">
        <v>54</v>
      </c>
      <c r="C32" s="13">
        <v>0.1</v>
      </c>
      <c r="D32" s="8" t="s">
        <v>55</v>
      </c>
    </row>
    <row r="33" spans="2:4">
      <c r="B33" s="8" t="s">
        <v>56</v>
      </c>
      <c r="C33" s="16">
        <f>'Financials HY'!I75</f>
        <v>22232141.044</v>
      </c>
      <c r="D33" s="8" t="s">
        <v>57</v>
      </c>
    </row>
    <row r="34" spans="2:4">
      <c r="B34" s="8" t="s">
        <v>58</v>
      </c>
      <c r="C34" s="16">
        <f>-DCF!C35</f>
        <v>1265615</v>
      </c>
      <c r="D34" s="8" t="s">
        <v>59</v>
      </c>
    </row>
    <row r="35" spans="2:4">
      <c r="B35" s="8" t="s">
        <v>60</v>
      </c>
      <c r="C35" s="16">
        <f>C33+C34</f>
        <v>23497756.044</v>
      </c>
      <c r="D35" s="8" t="s">
        <v>61</v>
      </c>
    </row>
    <row r="36" spans="2:4">
      <c r="B36" s="8" t="s">
        <v>62</v>
      </c>
      <c r="C36" s="13">
        <v>0.2475</v>
      </c>
      <c r="D36" s="8" t="s">
        <v>63</v>
      </c>
    </row>
    <row r="37" spans="2:4">
      <c r="B37" s="8" t="s">
        <v>64</v>
      </c>
      <c r="C37" s="13">
        <f>C33/C35</f>
        <v>0.94613889949192975</v>
      </c>
      <c r="D37" s="8"/>
    </row>
    <row r="38" spans="2:4">
      <c r="B38" s="8" t="s">
        <v>65</v>
      </c>
      <c r="C38" s="13">
        <f>C34/C35</f>
        <v>5.3861100508070282E-2</v>
      </c>
      <c r="D38" s="8"/>
    </row>
    <row r="40" spans="2:4">
      <c r="B40" s="9" t="s">
        <v>66</v>
      </c>
      <c r="C40" s="12">
        <f>C37*C31+C38*(C32*C36)</f>
        <v>0.13379250816644492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B5"/>
  <sheetViews>
    <sheetView workbookViewId="0"/>
  </sheetViews>
  <sheetFormatPr defaultRowHeight="14.4"/>
  <cols>
    <col min="1" max="1" width="5.33203125" customWidth="1"/>
    <col min="2" max="2" width="58.109375" customWidth="1"/>
    <col min="3" max="3" width="15" customWidth="1"/>
  </cols>
  <sheetData>
    <row r="2" spans="1:2">
      <c r="A2">
        <v>1</v>
      </c>
      <c r="B2" t="s">
        <v>438</v>
      </c>
    </row>
    <row r="3" spans="1:2">
      <c r="A3">
        <v>2</v>
      </c>
      <c r="B3" t="s">
        <v>439</v>
      </c>
    </row>
    <row r="4" spans="1:2">
      <c r="A4">
        <v>3</v>
      </c>
    </row>
    <row r="5" spans="1:2">
      <c r="A5">
        <v>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MK147"/>
  <sheetViews>
    <sheetView workbookViewId="0">
      <selection activeCell="D9" sqref="D9"/>
    </sheetView>
  </sheetViews>
  <sheetFormatPr defaultColWidth="9.109375" defaultRowHeight="14.4"/>
  <cols>
    <col min="1" max="1" width="46.109375" style="240" customWidth="1"/>
    <col min="2" max="2" width="21.88671875" style="240" customWidth="1"/>
    <col min="3" max="3" width="16.109375" style="240" customWidth="1"/>
    <col min="4" max="4" width="13.88671875" style="240" customWidth="1"/>
    <col min="5" max="5" width="11.6640625" style="240" customWidth="1"/>
    <col min="6" max="6" width="12.44140625" style="241" customWidth="1"/>
    <col min="7" max="7" width="12.6640625" style="240" customWidth="1"/>
    <col min="8" max="8" width="27.88671875" style="240" customWidth="1"/>
    <col min="9" max="9" width="11.5546875" style="240" customWidth="1"/>
    <col min="10" max="10" width="15.109375" style="240" customWidth="1"/>
    <col min="11" max="11" width="15.5546875" style="240" customWidth="1"/>
    <col min="12" max="1025" width="9.109375" style="240"/>
  </cols>
  <sheetData>
    <row r="2" spans="1:5">
      <c r="A2" s="239" t="s">
        <v>289</v>
      </c>
    </row>
    <row r="4" spans="1:5">
      <c r="A4" s="242"/>
      <c r="B4" s="243"/>
      <c r="C4" s="243"/>
      <c r="D4" s="243"/>
      <c r="E4" s="244"/>
    </row>
    <row r="5" spans="1:5">
      <c r="A5" s="245" t="s">
        <v>290</v>
      </c>
      <c r="B5" s="246" t="s">
        <v>291</v>
      </c>
      <c r="E5" s="247"/>
    </row>
    <row r="6" spans="1:5">
      <c r="A6" s="248" t="s">
        <v>292</v>
      </c>
      <c r="B6" s="249" t="s">
        <v>293</v>
      </c>
      <c r="E6" s="247"/>
    </row>
    <row r="7" spans="1:5">
      <c r="A7" s="250" t="s">
        <v>294</v>
      </c>
      <c r="B7" s="249" t="s">
        <v>295</v>
      </c>
      <c r="D7" s="382" t="e">
        <f>D17</f>
        <v>#DIV/0!</v>
      </c>
      <c r="E7" s="247"/>
    </row>
    <row r="8" spans="1:5">
      <c r="A8" s="251" t="s">
        <v>296</v>
      </c>
      <c r="B8" s="249" t="s">
        <v>297</v>
      </c>
      <c r="E8" s="247"/>
    </row>
    <row r="9" spans="1:5">
      <c r="A9" s="252" t="s">
        <v>298</v>
      </c>
      <c r="B9" s="253" t="s">
        <v>299</v>
      </c>
      <c r="E9" s="247"/>
    </row>
    <row r="10" spans="1:5">
      <c r="A10" s="254"/>
      <c r="E10" s="247"/>
    </row>
    <row r="11" spans="1:5">
      <c r="A11" s="254"/>
      <c r="E11" s="247"/>
    </row>
    <row r="12" spans="1:5">
      <c r="A12" s="255"/>
      <c r="B12" s="256" t="s">
        <v>300</v>
      </c>
      <c r="C12" s="256" t="s">
        <v>301</v>
      </c>
      <c r="D12" s="256" t="s">
        <v>302</v>
      </c>
      <c r="E12" s="247"/>
    </row>
    <row r="13" spans="1:5">
      <c r="A13" s="254" t="s">
        <v>303</v>
      </c>
      <c r="B13" s="257">
        <v>0.6</v>
      </c>
      <c r="C13" s="258">
        <f>G41</f>
        <v>4.75</v>
      </c>
      <c r="D13" s="259">
        <f>C13*B13/10</f>
        <v>0.28500000000000003</v>
      </c>
      <c r="E13" s="247"/>
    </row>
    <row r="14" spans="1:5">
      <c r="A14" s="254" t="s">
        <v>304</v>
      </c>
      <c r="B14" s="260">
        <v>0.2</v>
      </c>
      <c r="C14" s="258" t="e">
        <f>E85</f>
        <v>#DIV/0!</v>
      </c>
      <c r="D14" s="259" t="e">
        <f>C14*B14/10</f>
        <v>#DIV/0!</v>
      </c>
      <c r="E14" s="247"/>
    </row>
    <row r="15" spans="1:5">
      <c r="A15" s="254" t="s">
        <v>117</v>
      </c>
      <c r="B15" s="260">
        <v>0.15</v>
      </c>
      <c r="C15" s="258">
        <f>E65</f>
        <v>2.6500000000000004</v>
      </c>
      <c r="D15" s="259">
        <f>C15*B15/10</f>
        <v>3.9750000000000001E-2</v>
      </c>
      <c r="E15" s="247"/>
    </row>
    <row r="16" spans="1:5">
      <c r="A16" s="254" t="s">
        <v>305</v>
      </c>
      <c r="B16" s="261">
        <v>0.05</v>
      </c>
      <c r="C16" s="262">
        <f>C26</f>
        <v>6</v>
      </c>
      <c r="D16" s="259">
        <f>C16*B16/10</f>
        <v>3.0000000000000006E-2</v>
      </c>
      <c r="E16" s="247"/>
    </row>
    <row r="17" spans="1:9">
      <c r="A17" s="263" t="s">
        <v>306</v>
      </c>
      <c r="B17" s="381">
        <f>SUM(B13:B16)</f>
        <v>1</v>
      </c>
      <c r="C17" s="239" t="e">
        <f>SUM(C13:C16)</f>
        <v>#DIV/0!</v>
      </c>
      <c r="D17" s="264" t="e">
        <f>SUM(D13:D16)</f>
        <v>#DIV/0!</v>
      </c>
      <c r="E17" s="247"/>
    </row>
    <row r="18" spans="1:9" ht="15" thickBot="1">
      <c r="A18" s="265"/>
      <c r="B18" s="266"/>
      <c r="C18" s="266"/>
      <c r="D18" s="266"/>
      <c r="E18" s="267"/>
    </row>
    <row r="20" spans="1:9">
      <c r="E20" s="268">
        <v>0.8</v>
      </c>
    </row>
    <row r="21" spans="1:9" ht="15" thickBot="1">
      <c r="E21" s="268">
        <v>0.65</v>
      </c>
    </row>
    <row r="22" spans="1:9">
      <c r="A22" s="269" t="s">
        <v>307</v>
      </c>
      <c r="B22" s="270" t="s">
        <v>308</v>
      </c>
      <c r="C22" s="271" t="s">
        <v>309</v>
      </c>
      <c r="E22" s="268">
        <v>0.5</v>
      </c>
    </row>
    <row r="23" spans="1:9">
      <c r="A23" s="272" t="s">
        <v>310</v>
      </c>
      <c r="B23" s="273">
        <v>10</v>
      </c>
      <c r="C23" s="247">
        <v>7</v>
      </c>
      <c r="E23" s="268">
        <v>0.35</v>
      </c>
    </row>
    <row r="24" spans="1:9">
      <c r="A24" s="272" t="s">
        <v>311</v>
      </c>
      <c r="B24" s="273">
        <v>10</v>
      </c>
      <c r="C24" s="247">
        <v>5</v>
      </c>
    </row>
    <row r="25" spans="1:9">
      <c r="A25" s="272" t="s">
        <v>312</v>
      </c>
      <c r="B25" s="273">
        <v>10</v>
      </c>
      <c r="C25" s="247">
        <v>6</v>
      </c>
    </row>
    <row r="26" spans="1:9" ht="15" thickBot="1">
      <c r="A26" s="274" t="s">
        <v>313</v>
      </c>
      <c r="B26" s="275">
        <f>SUM(B23:B25)</f>
        <v>30</v>
      </c>
      <c r="C26" s="276">
        <f>AVERAGE(C23:C25)</f>
        <v>6</v>
      </c>
    </row>
    <row r="27" spans="1:9">
      <c r="A27" s="241"/>
    </row>
    <row r="31" spans="1:9" ht="1.5" customHeight="1" thickBot="1"/>
    <row r="32" spans="1:9" ht="36" customHeight="1">
      <c r="A32" s="269" t="s">
        <v>314</v>
      </c>
      <c r="B32" s="277" t="s">
        <v>315</v>
      </c>
      <c r="C32" s="277" t="s">
        <v>316</v>
      </c>
      <c r="D32" s="277" t="s">
        <v>317</v>
      </c>
      <c r="E32" s="270" t="s">
        <v>318</v>
      </c>
      <c r="F32" s="277" t="s">
        <v>319</v>
      </c>
      <c r="G32" s="278" t="s">
        <v>320</v>
      </c>
      <c r="H32" s="279"/>
      <c r="I32" s="280"/>
    </row>
    <row r="33" spans="1:10">
      <c r="A33" s="281" t="s">
        <v>131</v>
      </c>
      <c r="B33" s="258">
        <f>'Data Input'!Q6</f>
        <v>11</v>
      </c>
      <c r="C33" s="258">
        <f>'Data Input'!Q5</f>
        <v>1.0869176235654772</v>
      </c>
      <c r="D33" s="259">
        <f>(C33-B33)/B33</f>
        <v>-0.90118930694859312</v>
      </c>
      <c r="E33" s="273">
        <f>IF((D33&gt;=50%),C45,IF(D33&gt;=20%,C46,IF(D33&gt;=10%,C47,IF(D33&gt;=5%,C48,IF(D33&gt;=0%,C49,IF(D33&gt;=-5%,C50,IF(D33&gt;=-15%,C51,IF(D33&lt;=-15%,C52))))))))</f>
        <v>2</v>
      </c>
      <c r="F33" s="282">
        <v>0.6</v>
      </c>
      <c r="G33" s="283">
        <f>F33*E33</f>
        <v>1.2</v>
      </c>
    </row>
    <row r="34" spans="1:10" ht="15" thickBot="1">
      <c r="A34" s="281" t="s">
        <v>171</v>
      </c>
      <c r="B34" s="258"/>
      <c r="C34" s="258"/>
      <c r="D34" s="259"/>
      <c r="E34" s="273"/>
      <c r="F34" s="282"/>
      <c r="G34" s="283"/>
    </row>
    <row r="35" spans="1:10" ht="27.6">
      <c r="A35" s="281"/>
      <c r="B35" s="284" t="s">
        <v>321</v>
      </c>
      <c r="C35" s="277" t="s">
        <v>322</v>
      </c>
      <c r="D35" s="259"/>
      <c r="E35" s="285"/>
      <c r="F35" s="282"/>
      <c r="G35" s="283"/>
      <c r="J35" s="286"/>
    </row>
    <row r="36" spans="1:10">
      <c r="A36" s="281" t="s">
        <v>134</v>
      </c>
      <c r="B36" s="287">
        <f>'Data Input'!Q9</f>
        <v>1.0869176235654772</v>
      </c>
      <c r="C36" s="273">
        <v>3</v>
      </c>
      <c r="D36" s="259">
        <f>(C36-B36)/B36</f>
        <v>1.7600987737772904</v>
      </c>
      <c r="E36" s="285">
        <f>IF((D36&gt;=50%),C45,IF(D36&gt;=20%,C46,IF(D36&gt;=10%,C47,IF(D36&gt;=5%,C48,IF(D36&gt;=0%,C49,IF(D36&gt;=-5%,C50,IF(D36&gt;=-15%,C51,IF(D36&lt;=-15%,C52))))))))</f>
        <v>10</v>
      </c>
      <c r="F36" s="282">
        <v>0.1</v>
      </c>
      <c r="G36" s="283">
        <f>F36*E36</f>
        <v>1</v>
      </c>
    </row>
    <row r="37" spans="1:10">
      <c r="A37" s="281" t="s">
        <v>12</v>
      </c>
      <c r="B37" s="287">
        <f>'Data Input'!Q10</f>
        <v>2.58978119542985</v>
      </c>
      <c r="C37" s="273">
        <v>5</v>
      </c>
      <c r="D37" s="259">
        <f>(C37-B37)/B37</f>
        <v>0.93066503410536339</v>
      </c>
      <c r="E37" s="285">
        <f>IF((D37&gt;=50%),C45,IF(D37&gt;=20%,C46,IF(D37&gt;=10%,C47,IF(D37&gt;=5%,C48,IF(D37&gt;=0%,C49,IF(D37&gt;=-5%,C50,IF(D37&gt;=-15%,C51,IF(D37&lt;=-15%,C52))))))))</f>
        <v>10</v>
      </c>
      <c r="F37" s="282">
        <v>0.05</v>
      </c>
      <c r="G37" s="283">
        <f>F37*E37</f>
        <v>0.5</v>
      </c>
    </row>
    <row r="38" spans="1:10">
      <c r="A38" s="281" t="s">
        <v>323</v>
      </c>
      <c r="B38" s="287">
        <f>'Data Input'!Q8</f>
        <v>3.4875832928060655</v>
      </c>
      <c r="C38" s="273">
        <v>30</v>
      </c>
      <c r="D38" s="259">
        <f>(C38-B38)/B38</f>
        <v>7.6019450952990368</v>
      </c>
      <c r="E38" s="285">
        <f>IF((D38&gt;=50%),C45,IF(D38&gt;=20%,C46,IF(D38&gt;=10%,C47,IF(D38&gt;=5%,C48,IF(D38&gt;=0%,C49,IF(D38&gt;=-5%,C50,IF(D38&gt;=-15%,C51,IF(D38&lt;=-15%,C52))))))))</f>
        <v>10</v>
      </c>
      <c r="F38" s="282">
        <v>0.1</v>
      </c>
      <c r="G38" s="283">
        <f>F38*E38</f>
        <v>1</v>
      </c>
    </row>
    <row r="39" spans="1:10">
      <c r="A39" s="281" t="s">
        <v>324</v>
      </c>
      <c r="B39" s="287">
        <f>'Data Input'!Q7/'Data Input'!Q8</f>
        <v>1</v>
      </c>
      <c r="C39" s="258"/>
      <c r="D39" s="288">
        <f>B39</f>
        <v>1</v>
      </c>
      <c r="E39" s="285">
        <f>IF((D39&gt;=3),C45,IF(D39&gt;=2,C46,IF(D39&gt;=1.5,C47,IF(D39&gt;=1,C48,IF(D39&gt;=0.8,C49,IF(D39&gt;=5,C50,IF(D39&gt;=0.2,C51,IF(D39&lt;=-1,C52))))))))</f>
        <v>7</v>
      </c>
      <c r="F39" s="282">
        <v>0.15</v>
      </c>
      <c r="G39" s="283">
        <f>F39*E39</f>
        <v>1.05</v>
      </c>
      <c r="J39" s="286"/>
    </row>
    <row r="40" spans="1:10">
      <c r="A40" s="281"/>
      <c r="B40" s="260"/>
      <c r="C40" s="289"/>
      <c r="D40" s="260"/>
      <c r="E40" s="260"/>
      <c r="F40" s="289"/>
      <c r="G40" s="290"/>
    </row>
    <row r="41" spans="1:10" ht="15" thickBot="1">
      <c r="A41" s="291" t="s">
        <v>313</v>
      </c>
      <c r="B41" s="292"/>
      <c r="C41" s="293"/>
      <c r="D41" s="292"/>
      <c r="E41" s="294"/>
      <c r="F41" s="295">
        <f>SUM(F33:F40)</f>
        <v>1</v>
      </c>
      <c r="G41" s="296">
        <f>SUM(G33:G40)</f>
        <v>4.75</v>
      </c>
    </row>
    <row r="42" spans="1:10" s="240" customFormat="1" ht="13.8">
      <c r="G42" s="241"/>
      <c r="H42" s="297"/>
    </row>
    <row r="43" spans="1:10" s="240" customFormat="1" thickBot="1">
      <c r="F43" s="241"/>
      <c r="G43" s="297"/>
    </row>
    <row r="44" spans="1:10" s="240" customFormat="1" ht="13.8">
      <c r="A44" s="279" t="s">
        <v>127</v>
      </c>
      <c r="B44" s="298" t="s">
        <v>325</v>
      </c>
      <c r="C44" s="299"/>
      <c r="E44" s="279"/>
      <c r="G44" s="297"/>
    </row>
    <row r="45" spans="1:10" s="240" customFormat="1" ht="13.8">
      <c r="B45" s="300" t="s">
        <v>326</v>
      </c>
      <c r="C45" s="301">
        <v>10</v>
      </c>
      <c r="G45" s="297"/>
    </row>
    <row r="46" spans="1:10" s="240" customFormat="1" ht="13.8">
      <c r="B46" s="302" t="s">
        <v>327</v>
      </c>
      <c r="C46" s="247">
        <v>9</v>
      </c>
      <c r="G46" s="297"/>
    </row>
    <row r="47" spans="1:10" s="240" customFormat="1" ht="13.8">
      <c r="B47" s="302" t="s">
        <v>328</v>
      </c>
      <c r="C47" s="247">
        <v>8</v>
      </c>
      <c r="G47" s="297"/>
    </row>
    <row r="48" spans="1:10" s="240" customFormat="1" ht="13.8">
      <c r="B48" s="302" t="s">
        <v>329</v>
      </c>
      <c r="C48" s="247">
        <v>7</v>
      </c>
      <c r="G48" s="297"/>
    </row>
    <row r="49" spans="1:9" s="240" customFormat="1" ht="13.8">
      <c r="B49" s="302" t="s">
        <v>330</v>
      </c>
      <c r="C49" s="247">
        <v>6</v>
      </c>
      <c r="G49" s="297"/>
    </row>
    <row r="50" spans="1:9" s="240" customFormat="1" ht="13.8">
      <c r="B50" s="302" t="s">
        <v>331</v>
      </c>
      <c r="C50" s="247">
        <v>4</v>
      </c>
      <c r="G50" s="297"/>
    </row>
    <row r="51" spans="1:9" s="240" customFormat="1" ht="13.8">
      <c r="B51" s="302" t="s">
        <v>332</v>
      </c>
      <c r="C51" s="247">
        <v>3</v>
      </c>
      <c r="G51" s="297"/>
    </row>
    <row r="52" spans="1:9" s="240" customFormat="1" thickBot="1">
      <c r="B52" s="303" t="s">
        <v>333</v>
      </c>
      <c r="C52" s="267">
        <v>2</v>
      </c>
      <c r="G52" s="297"/>
    </row>
    <row r="53" spans="1:9" s="240" customFormat="1" ht="13.8">
      <c r="F53" s="241"/>
      <c r="G53" s="297"/>
    </row>
    <row r="54" spans="1:9" s="240" customFormat="1" thickBot="1">
      <c r="F54" s="241"/>
    </row>
    <row r="55" spans="1:9" ht="28.2" thickBot="1">
      <c r="A55" s="304" t="s">
        <v>334</v>
      </c>
      <c r="B55" s="305" t="s">
        <v>335</v>
      </c>
      <c r="C55" s="305" t="s">
        <v>336</v>
      </c>
      <c r="D55" s="306" t="s">
        <v>318</v>
      </c>
      <c r="E55" s="307" t="s">
        <v>337</v>
      </c>
      <c r="F55" s="280"/>
      <c r="G55" s="279"/>
    </row>
    <row r="56" spans="1:9">
      <c r="A56" s="300" t="s">
        <v>338</v>
      </c>
      <c r="B56" s="308">
        <v>0.25</v>
      </c>
      <c r="C56" s="257">
        <f>'Data Input'!Q12</f>
        <v>-0.95091716529596626</v>
      </c>
      <c r="D56" s="309">
        <f>IF((C56&gt;=50%),H56,IF(C56&gt;=20%,H57,IF(C56&gt;=10%,H58,IF(C56&gt;=5%,H59,IF(C56&gt;=0%,H60,IF(C56&gt;=-5%,H61,IF(C56&gt;=-15%,H62,IF(C56&lt;=-15%,H63))))))))</f>
        <v>2</v>
      </c>
      <c r="E56" s="310">
        <f t="shared" ref="E56:E64" si="0">D56*B56</f>
        <v>0.5</v>
      </c>
      <c r="G56" s="311" t="s">
        <v>326</v>
      </c>
      <c r="H56" s="244">
        <v>10</v>
      </c>
    </row>
    <row r="57" spans="1:9">
      <c r="A57" s="312" t="s">
        <v>187</v>
      </c>
      <c r="B57" s="313">
        <v>0.1</v>
      </c>
      <c r="C57" s="261">
        <f>'Data Input'!Q13</f>
        <v>0</v>
      </c>
      <c r="D57" s="314">
        <f>IF((C57&gt;=50%),H56,IF(C57&gt;=20%,H57,IF(C57&gt;=10%,H58,IF(C57&gt;=5%,H59,IF(C57&gt;=0%,H60,IF(C57&gt;=-5%,H61,IF(C57&gt;=-15%,H62,IF(C57&lt;=-15%,H63))))))))</f>
        <v>6</v>
      </c>
      <c r="E57" s="315">
        <f t="shared" si="0"/>
        <v>0.60000000000000009</v>
      </c>
      <c r="G57" s="302" t="s">
        <v>327</v>
      </c>
      <c r="H57" s="247">
        <v>9</v>
      </c>
    </row>
    <row r="58" spans="1:9">
      <c r="A58" s="300" t="s">
        <v>189</v>
      </c>
      <c r="B58" s="308">
        <v>0.2</v>
      </c>
      <c r="C58" s="257">
        <f>'Data Input'!Q14</f>
        <v>-0.99155727275737449</v>
      </c>
      <c r="D58" s="316">
        <f>IF((C58&gt;=50%),H56,IF(C58&gt;=20%,H57,IF(C58&gt;=10%,H58,IF(C58&gt;=5%,H59,IF(C58&gt;=0%,H60,IF(C58&gt;=-5%,H61,IF(C58&gt;=-15%,H62,IF(C58&lt;=-15%,H63))))))))</f>
        <v>2</v>
      </c>
      <c r="E58" s="310">
        <f t="shared" si="0"/>
        <v>0.4</v>
      </c>
      <c r="G58" s="302" t="s">
        <v>328</v>
      </c>
      <c r="H58" s="247">
        <v>8</v>
      </c>
    </row>
    <row r="59" spans="1:9">
      <c r="A59" s="312" t="s">
        <v>191</v>
      </c>
      <c r="B59" s="313"/>
      <c r="C59" s="261"/>
      <c r="D59" s="317"/>
      <c r="E59" s="318">
        <f t="shared" si="0"/>
        <v>0</v>
      </c>
      <c r="G59" s="302" t="s">
        <v>329</v>
      </c>
      <c r="H59" s="247">
        <v>7</v>
      </c>
    </row>
    <row r="60" spans="1:9">
      <c r="A60" s="300" t="s">
        <v>193</v>
      </c>
      <c r="B60" s="308">
        <v>0.2</v>
      </c>
      <c r="C60" s="257">
        <f>'Data Input'!Q16</f>
        <v>-0.96407851266821276</v>
      </c>
      <c r="D60" s="309">
        <f>IF((C60&gt;=50%),H56,IF(C60&gt;=20%,H57,IF(C60&gt;=10%,H58,IF(C60&gt;=5%,H59,IF(C60&gt;=0%,H60,IF(C60&gt;=-5%,H61,IF(C60&gt;=-15%,H62,IF(C60&lt;=-15%,H63))))))))</f>
        <v>2</v>
      </c>
      <c r="E60" s="315">
        <f t="shared" si="0"/>
        <v>0.4</v>
      </c>
      <c r="G60" s="302" t="s">
        <v>330</v>
      </c>
      <c r="H60" s="247">
        <v>6</v>
      </c>
    </row>
    <row r="61" spans="1:9">
      <c r="A61" s="312" t="s">
        <v>195</v>
      </c>
      <c r="B61" s="313">
        <v>0.05</v>
      </c>
      <c r="C61" s="261">
        <f>'Data Input'!Q17</f>
        <v>6.0900000000000003E-2</v>
      </c>
      <c r="D61" s="314">
        <f>IF((C61&gt;=50%),H56,IF(C61&gt;=20%,H57,IF(C61&gt;=10%,H58,IF(C61&gt;=5%,H59,IF(C61&gt;=0%,H60,IF(C61&gt;=-5%,H61,IF(C61&gt;=-15%,H62,IF(C61&lt;=-15%,H63))))))))</f>
        <v>7</v>
      </c>
      <c r="E61" s="315">
        <f t="shared" si="0"/>
        <v>0.35000000000000003</v>
      </c>
      <c r="G61" s="302" t="s">
        <v>331</v>
      </c>
      <c r="H61" s="247">
        <v>4</v>
      </c>
    </row>
    <row r="62" spans="1:9">
      <c r="A62" s="300" t="s">
        <v>339</v>
      </c>
      <c r="B62" s="308">
        <v>0.1</v>
      </c>
      <c r="C62" s="257">
        <f>'Data Input'!Q19</f>
        <v>-0.99823367856615197</v>
      </c>
      <c r="D62" s="316">
        <f>IF((C62&gt;=50%),H56,IF(C62&gt;=20%,H57,IF(C62&gt;=10%,H58,IF(C62&gt;=5%,H59,IF(C62&gt;=0%,H60,IF(C62&gt;=-5%,H61,IF(C62&gt;=-15%,H62,IF(C62&lt;=-15%,H63))))))))</f>
        <v>2</v>
      </c>
      <c r="E62" s="310">
        <f t="shared" si="0"/>
        <v>0.2</v>
      </c>
      <c r="G62" s="302" t="s">
        <v>332</v>
      </c>
      <c r="H62" s="247">
        <v>3</v>
      </c>
    </row>
    <row r="63" spans="1:9" ht="15" thickBot="1">
      <c r="A63" s="312"/>
      <c r="B63" s="313"/>
      <c r="C63" s="319"/>
      <c r="D63" s="317"/>
      <c r="E63" s="318"/>
      <c r="G63" s="303" t="s">
        <v>333</v>
      </c>
      <c r="H63" s="267">
        <v>2</v>
      </c>
    </row>
    <row r="64" spans="1:9" ht="15" thickBot="1">
      <c r="A64" s="320" t="s">
        <v>340</v>
      </c>
      <c r="B64" s="321">
        <v>0.1</v>
      </c>
      <c r="C64" s="319">
        <f>'Data Input'!Q21</f>
        <v>-21.147273612463486</v>
      </c>
      <c r="D64" s="322">
        <f>IF((C64&gt;=50%),H56,IF(C64&gt;=20%,H57,IF(C64&gt;=10%,H58,IF(C64&gt;=5%,H59,IF(C64&gt;=0%,H60,IF(C64&gt;=-5%,H61,IF(C64&gt;=-15%,H62,IF(C64&lt;=-15%,H63))))))))</f>
        <v>2</v>
      </c>
      <c r="E64" s="318">
        <f t="shared" si="0"/>
        <v>0.2</v>
      </c>
      <c r="F64" s="280"/>
      <c r="G64" s="279"/>
      <c r="H64" s="279"/>
      <c r="I64" s="279"/>
    </row>
    <row r="65" spans="1:9" ht="15" thickBot="1">
      <c r="A65" s="279" t="s">
        <v>306</v>
      </c>
      <c r="B65" s="323">
        <f>SUM(B56:B64)</f>
        <v>1</v>
      </c>
      <c r="C65" s="249"/>
      <c r="D65" s="273"/>
      <c r="E65" s="324">
        <f>SUM(E56:E64)</f>
        <v>2.6500000000000004</v>
      </c>
    </row>
    <row r="66" spans="1:9">
      <c r="A66" s="279"/>
    </row>
    <row r="67" spans="1:9">
      <c r="A67" s="279"/>
    </row>
    <row r="68" spans="1:9" ht="15" thickBot="1">
      <c r="A68" s="279"/>
    </row>
    <row r="69" spans="1:9" ht="27.6">
      <c r="A69" s="325" t="s">
        <v>341</v>
      </c>
      <c r="B69" s="326" t="s">
        <v>335</v>
      </c>
      <c r="C69" s="327" t="s">
        <v>91</v>
      </c>
      <c r="D69" s="328" t="s">
        <v>318</v>
      </c>
      <c r="E69" s="329" t="s">
        <v>337</v>
      </c>
    </row>
    <row r="70" spans="1:9">
      <c r="A70" s="330" t="s">
        <v>0</v>
      </c>
      <c r="B70" s="308">
        <v>0.1</v>
      </c>
      <c r="C70" s="331">
        <f>'Data Input'!Q25</f>
        <v>0.31165352403410473</v>
      </c>
      <c r="D70" s="332">
        <f>IF((C70&gt;=25%),L94,IF(C70&gt;=20%,L95,IF(C70&gt;=15%,L96,IF(C70&gt;=10%,L97,IF(C70&gt;=5%,L98,IF(C70&gt;=0%,L99,IF(C70&lt;=0%,L100)))))))</f>
        <v>10</v>
      </c>
      <c r="E70" s="333">
        <f t="shared" ref="E70:E84" si="1">D70*B70</f>
        <v>1</v>
      </c>
    </row>
    <row r="71" spans="1:9">
      <c r="A71" s="281" t="s">
        <v>10</v>
      </c>
      <c r="B71" s="282">
        <v>0.05</v>
      </c>
      <c r="C71" s="260">
        <f>'Data Input'!Q26</f>
        <v>9.2055552043221064E-2</v>
      </c>
      <c r="D71" s="273">
        <f>IF((C71&gt;=25%),L94,IF(C71&gt;=20%,L95,IF(C71&gt;=15%,L96,IF(C71&gt;=10%,L97,IF(C71&gt;=5%,L98,IF(C71&gt;=0%,L99,IF(C71&lt;=0%,L100)))))))</f>
        <v>6</v>
      </c>
      <c r="E71" s="290">
        <f t="shared" si="1"/>
        <v>0.30000000000000004</v>
      </c>
    </row>
    <row r="72" spans="1:9">
      <c r="A72" s="281" t="s">
        <v>11</v>
      </c>
      <c r="B72" s="282">
        <v>0.1</v>
      </c>
      <c r="C72" s="260">
        <f>'Data Input'!Q27</f>
        <v>0.33782344568340855</v>
      </c>
      <c r="D72" s="273">
        <f>IF((C72&gt;=20%),I80,IF(C72&gt;=15%,I81,IF(C72&gt;=10%,I82,IF(C72&gt;=5%,I83,IF(C72&gt;=0%,I84,IF(C72&gt;=-5%,I85,IF(C72&gt;=-15%,I86,IF(C72&lt;=-15%,I87))))))))</f>
        <v>10</v>
      </c>
      <c r="E72" s="290">
        <f t="shared" si="1"/>
        <v>1</v>
      </c>
    </row>
    <row r="73" spans="1:9">
      <c r="A73" s="281" t="s">
        <v>342</v>
      </c>
      <c r="B73" s="334">
        <v>0.1</v>
      </c>
      <c r="C73" s="260">
        <f>'Data Input'!Q28</f>
        <v>0.14025469589342276</v>
      </c>
      <c r="D73" s="273">
        <f>IF((C73&gt;=20%),O94,IF(C73&gt;=15%,O95,IF(C73&gt;=10%,O96,IF(C73&gt;=5%,O97,IF(C73&gt;=0%,O98,IF(C73&gt;=-5%,O99,IF(C73&lt;=-5%,O100)))))))</f>
        <v>8</v>
      </c>
      <c r="E73" s="290">
        <f t="shared" si="1"/>
        <v>0.8</v>
      </c>
    </row>
    <row r="74" spans="1:9">
      <c r="A74" s="281" t="s">
        <v>217</v>
      </c>
      <c r="B74" s="334">
        <v>0.15</v>
      </c>
      <c r="C74" s="335"/>
      <c r="D74" s="273">
        <f>D139</f>
        <v>8</v>
      </c>
      <c r="E74" s="290">
        <f t="shared" si="1"/>
        <v>1.2</v>
      </c>
    </row>
    <row r="75" spans="1:9">
      <c r="A75" s="281" t="s">
        <v>220</v>
      </c>
      <c r="B75" s="334">
        <v>0.05</v>
      </c>
      <c r="C75" s="259" t="e">
        <f>'Data Input'!Q30</f>
        <v>#DIV/0!</v>
      </c>
      <c r="D75" s="273" t="e">
        <f>IF((C75&gt;=20%),I80,IF(C75&gt;=15%,I81,IF(C75&gt;=10%,I82,IF(C75&gt;=5%,I83,IF(C75&gt;=0%,I84,IF(C75&gt;=-5%,I85,IF(C75&gt;=-15%,I86,IF(C75&lt;=-15%,I87))))))))</f>
        <v>#DIV/0!</v>
      </c>
      <c r="E75" s="290" t="e">
        <f t="shared" si="1"/>
        <v>#DIV/0!</v>
      </c>
    </row>
    <row r="76" spans="1:9">
      <c r="A76" s="281" t="s">
        <v>222</v>
      </c>
      <c r="B76" s="334">
        <v>0.05</v>
      </c>
      <c r="C76" s="259">
        <f>'Data Input'!Q31</f>
        <v>-1</v>
      </c>
      <c r="D76" s="273">
        <f>IF((C76&gt;=20%),I80,IF(C76&gt;=15%,I81,IF(C76&gt;=10%,I82,IF(C76&gt;=5%,I83,IF(C76&gt;=0%,I84,IF(C76&gt;=-5%,I85,IF(C76&gt;=-15%,I86,IF(C76&lt;=-15%,I87))))))))</f>
        <v>2</v>
      </c>
      <c r="E76" s="290">
        <f t="shared" si="1"/>
        <v>0.1</v>
      </c>
    </row>
    <row r="77" spans="1:9">
      <c r="A77" s="281" t="s">
        <v>35</v>
      </c>
      <c r="B77" s="334">
        <v>0.05</v>
      </c>
      <c r="C77" s="258">
        <f>'Data Input'!Q32</f>
        <v>2.1921715006735586E-2</v>
      </c>
      <c r="D77" s="273">
        <f>IF((C77&gt;=25%),C111,IF(C77&gt;=20%,C110,IF(C77&gt;=15%,C109,IF(C77&gt;=10%,C108,IF(C77&gt;=5%,C107,IF(C77&gt;0%,C106,IF(C77=0%,C105)))))))</f>
        <v>9</v>
      </c>
      <c r="E77" s="290">
        <f t="shared" si="1"/>
        <v>0.45</v>
      </c>
    </row>
    <row r="78" spans="1:9">
      <c r="A78" s="281" t="s">
        <v>224</v>
      </c>
      <c r="B78" s="334">
        <v>0.05</v>
      </c>
      <c r="C78" s="259">
        <f>'Data Input'!Q33</f>
        <v>0.50234645269068978</v>
      </c>
      <c r="D78" s="273">
        <f>IF((C78&gt;=20%),I80,IF(C78&gt;=15%,I81,IF(C78&gt;=10%,I82,IF(C78&gt;=5%,I83,IF(C78&gt;=0%,I84,IF(C78&gt;=-5%,I85,IF(C78&gt;=-15%,I86,IF(C78&lt;=-15%,I87))))))))</f>
        <v>10</v>
      </c>
      <c r="E78" s="290">
        <f t="shared" si="1"/>
        <v>0.5</v>
      </c>
    </row>
    <row r="79" spans="1:9" ht="15" thickBot="1">
      <c r="A79" s="281" t="s">
        <v>227</v>
      </c>
      <c r="B79" s="334">
        <v>0.05</v>
      </c>
      <c r="C79" s="336">
        <f>'Data Input'!Q34</f>
        <v>22.653865299622943</v>
      </c>
      <c r="D79" s="273">
        <f>IF((C79&gt;=10),F105,IF(C79&gt;=5,F106,IF(C79&gt;=3,F107,IF(C79&gt;=2,F108,IF(C79&gt;=1,F109,IF(C79&gt;=0.5,F110,IF(C79&lt;=0.5,F111)))))))</f>
        <v>10</v>
      </c>
      <c r="E79" s="290">
        <f t="shared" si="1"/>
        <v>0.5</v>
      </c>
    </row>
    <row r="80" spans="1:9">
      <c r="A80" s="281" t="s">
        <v>343</v>
      </c>
      <c r="B80" s="334">
        <v>0.05</v>
      </c>
      <c r="C80" s="260">
        <f>'Data Input'!Q35</f>
        <v>3.4648477183594532E-2</v>
      </c>
      <c r="D80" s="273">
        <f>IF((C73&gt;=25%),F99,IF(C73&gt;=20%,F98,IF(C73&gt;=15%,F97,IF(C73&gt;=10%,F96,IF(C73&gt;=5%,F95,IF(C73&gt;0%,F94,IF(C73=0%,F93)))))))</f>
        <v>7</v>
      </c>
      <c r="E80" s="290">
        <f t="shared" si="1"/>
        <v>0.35000000000000003</v>
      </c>
      <c r="H80" s="311" t="s">
        <v>344</v>
      </c>
      <c r="I80" s="244">
        <v>10</v>
      </c>
    </row>
    <row r="81" spans="1:15">
      <c r="A81" s="281" t="s">
        <v>233</v>
      </c>
      <c r="B81" s="334">
        <v>0.05</v>
      </c>
      <c r="C81" s="260">
        <f>'Data Input'!Q38</f>
        <v>0</v>
      </c>
      <c r="D81" s="273">
        <f>IF((C81&gt;=20%),I80,IF(C81&gt;=15%,I81,IF(C81&gt;=10%,I82,IF(C81&gt;=5%,I83,IF(C81&gt;=0%,I84,IF(C81&gt;=-5%,I85,IF(C81&gt;=-15%,I86,IF(C81&lt;=-15%,I87))))))))</f>
        <v>6</v>
      </c>
      <c r="E81" s="290">
        <f t="shared" si="1"/>
        <v>0.30000000000000004</v>
      </c>
      <c r="H81" s="302" t="s">
        <v>345</v>
      </c>
      <c r="I81" s="247">
        <v>9</v>
      </c>
    </row>
    <row r="82" spans="1:15">
      <c r="A82" s="281" t="s">
        <v>234</v>
      </c>
      <c r="B82" s="334">
        <v>0.05</v>
      </c>
      <c r="C82" s="260">
        <f>'Data Input'!Q39</f>
        <v>4.7472462612427853</v>
      </c>
      <c r="D82" s="273">
        <f>IF((C82&gt;=20%),I80,IF(C82&gt;=15%,I81,IF(C82&gt;=10%,I82,IF(C82&gt;=5%,I83,IF(C82&gt;=0%,I84,IF(C82&gt;=-5%,I85,IF(C82&gt;=-15%,I86,IF(C82&lt;=-15%,I87))))))))</f>
        <v>10</v>
      </c>
      <c r="E82" s="290">
        <f t="shared" si="1"/>
        <v>0.5</v>
      </c>
      <c r="H82" s="302" t="s">
        <v>346</v>
      </c>
      <c r="I82" s="247">
        <v>8</v>
      </c>
    </row>
    <row r="83" spans="1:15">
      <c r="A83" s="281" t="s">
        <v>231</v>
      </c>
      <c r="B83" s="334">
        <v>0.05</v>
      </c>
      <c r="C83" s="336">
        <f>'Data Input'!Q36</f>
        <v>1.0107855750957453</v>
      </c>
      <c r="D83" s="273">
        <f>IF((C83=3),C94,IF(C83&gt;=2.5,C95,IF(C83&gt;=2,C96,IF(C83&gt;=1.5,C97,IF(C83&gt;=1,C98,IF(C83&gt;=0.5,C99,IF(C83&lt;=0.5,C100)))))))</f>
        <v>6</v>
      </c>
      <c r="E83" s="290">
        <f t="shared" si="1"/>
        <v>0.30000000000000004</v>
      </c>
      <c r="H83" s="302" t="s">
        <v>329</v>
      </c>
      <c r="I83" s="247">
        <v>7</v>
      </c>
    </row>
    <row r="84" spans="1:15">
      <c r="A84" s="281" t="s">
        <v>232</v>
      </c>
      <c r="B84" s="334">
        <v>0.05</v>
      </c>
      <c r="C84" s="260">
        <f>'Data Input'!Q37</f>
        <v>0.44011130803962889</v>
      </c>
      <c r="D84" s="273">
        <f>IF((C84&gt;=100%),I93,IF(C84&gt;=50%,I94,IF(C84&gt;=20%,I95,IF(C84&gt;=10%,I96,IF(C84&gt;=5%,I97,IF(C84&gt;=0%,I98,IF(C84&lt;0%,I99)))))))</f>
        <v>8</v>
      </c>
      <c r="E84" s="290">
        <f t="shared" si="1"/>
        <v>0.4</v>
      </c>
      <c r="H84" s="302" t="s">
        <v>330</v>
      </c>
      <c r="I84" s="247">
        <v>6</v>
      </c>
    </row>
    <row r="85" spans="1:15" s="279" customFormat="1" ht="13.8">
      <c r="A85" s="254" t="s">
        <v>313</v>
      </c>
      <c r="B85" s="323">
        <f>SUM(B70:B84)</f>
        <v>1.0000000000000004</v>
      </c>
      <c r="C85" s="337"/>
      <c r="D85" s="337"/>
      <c r="E85" s="338" t="e">
        <f>SUM(E70:E84)</f>
        <v>#DIV/0!</v>
      </c>
      <c r="F85" s="280"/>
      <c r="H85" s="302" t="s">
        <v>331</v>
      </c>
      <c r="I85" s="247">
        <v>4</v>
      </c>
    </row>
    <row r="86" spans="1:15" ht="19.5" customHeight="1" thickBot="1">
      <c r="A86" s="265"/>
      <c r="B86" s="322"/>
      <c r="C86" s="322"/>
      <c r="D86" s="322"/>
      <c r="E86" s="339">
        <v>10</v>
      </c>
      <c r="H86" s="302" t="s">
        <v>332</v>
      </c>
      <c r="I86" s="247">
        <v>3</v>
      </c>
    </row>
    <row r="87" spans="1:15" ht="15" thickBot="1">
      <c r="A87" s="281"/>
      <c r="H87" s="303" t="s">
        <v>333</v>
      </c>
      <c r="I87" s="267">
        <v>2</v>
      </c>
    </row>
    <row r="88" spans="1:15">
      <c r="A88" s="281"/>
    </row>
    <row r="89" spans="1:15">
      <c r="A89" s="281"/>
    </row>
    <row r="91" spans="1:15" ht="15" thickBot="1">
      <c r="B91" s="340" t="s">
        <v>118</v>
      </c>
      <c r="C91" s="244"/>
      <c r="E91" s="340" t="s">
        <v>347</v>
      </c>
      <c r="F91" s="244"/>
      <c r="H91" s="340" t="s">
        <v>232</v>
      </c>
      <c r="I91" s="244"/>
      <c r="K91" s="242"/>
      <c r="L91" s="271" t="s">
        <v>0</v>
      </c>
    </row>
    <row r="92" spans="1:15">
      <c r="B92" s="281"/>
      <c r="C92" s="247"/>
      <c r="E92" s="281"/>
      <c r="F92" s="247"/>
      <c r="H92" s="281"/>
      <c r="I92" s="247"/>
      <c r="K92" s="281"/>
      <c r="L92" s="341" t="s">
        <v>10</v>
      </c>
      <c r="N92" s="340" t="s">
        <v>119</v>
      </c>
      <c r="O92" s="244"/>
    </row>
    <row r="93" spans="1:15">
      <c r="B93" s="281"/>
      <c r="C93" s="247"/>
      <c r="E93" s="342">
        <v>0</v>
      </c>
      <c r="F93" s="247">
        <v>10</v>
      </c>
      <c r="H93" s="281" t="s">
        <v>348</v>
      </c>
      <c r="I93" s="247">
        <v>10</v>
      </c>
      <c r="K93" s="281"/>
      <c r="L93" s="247"/>
      <c r="N93" s="281"/>
      <c r="O93" s="247"/>
    </row>
    <row r="94" spans="1:15">
      <c r="B94" s="281" t="s">
        <v>349</v>
      </c>
      <c r="C94" s="247">
        <v>10</v>
      </c>
      <c r="E94" s="281" t="s">
        <v>350</v>
      </c>
      <c r="F94" s="247">
        <v>9</v>
      </c>
      <c r="H94" s="281" t="s">
        <v>351</v>
      </c>
      <c r="I94" s="247">
        <v>9</v>
      </c>
      <c r="K94" s="281" t="s">
        <v>352</v>
      </c>
      <c r="L94" s="247">
        <v>10</v>
      </c>
      <c r="N94" s="281" t="s">
        <v>344</v>
      </c>
      <c r="O94" s="247">
        <v>10</v>
      </c>
    </row>
    <row r="95" spans="1:15">
      <c r="B95" s="281" t="s">
        <v>353</v>
      </c>
      <c r="C95" s="247">
        <v>9</v>
      </c>
      <c r="E95" s="281" t="s">
        <v>329</v>
      </c>
      <c r="F95" s="247">
        <v>8</v>
      </c>
      <c r="H95" s="281" t="s">
        <v>327</v>
      </c>
      <c r="I95" s="247">
        <v>8</v>
      </c>
      <c r="K95" s="281" t="s">
        <v>354</v>
      </c>
      <c r="L95" s="247">
        <v>9</v>
      </c>
      <c r="N95" s="281" t="s">
        <v>345</v>
      </c>
      <c r="O95" s="247">
        <v>9</v>
      </c>
    </row>
    <row r="96" spans="1:15">
      <c r="B96" s="281" t="s">
        <v>355</v>
      </c>
      <c r="C96" s="247">
        <v>8</v>
      </c>
      <c r="E96" s="281" t="s">
        <v>346</v>
      </c>
      <c r="F96" s="247">
        <v>7</v>
      </c>
      <c r="H96" s="281" t="s">
        <v>328</v>
      </c>
      <c r="I96" s="247">
        <v>7</v>
      </c>
      <c r="K96" s="281" t="s">
        <v>345</v>
      </c>
      <c r="L96" s="247">
        <v>8</v>
      </c>
      <c r="N96" s="281" t="s">
        <v>346</v>
      </c>
      <c r="O96" s="247">
        <v>8</v>
      </c>
    </row>
    <row r="97" spans="2:15">
      <c r="B97" s="281" t="s">
        <v>356</v>
      </c>
      <c r="C97" s="247">
        <v>7</v>
      </c>
      <c r="E97" s="281" t="s">
        <v>345</v>
      </c>
      <c r="F97" s="247">
        <v>6</v>
      </c>
      <c r="H97" s="281" t="s">
        <v>329</v>
      </c>
      <c r="I97" s="247">
        <v>6</v>
      </c>
      <c r="K97" s="281" t="s">
        <v>346</v>
      </c>
      <c r="L97" s="247">
        <v>7</v>
      </c>
      <c r="N97" s="281" t="s">
        <v>329</v>
      </c>
      <c r="O97" s="247">
        <v>7</v>
      </c>
    </row>
    <row r="98" spans="2:15">
      <c r="B98" s="281" t="s">
        <v>357</v>
      </c>
      <c r="C98" s="247">
        <v>6</v>
      </c>
      <c r="E98" s="281" t="s">
        <v>354</v>
      </c>
      <c r="F98" s="247">
        <v>5</v>
      </c>
      <c r="H98" s="281" t="s">
        <v>330</v>
      </c>
      <c r="I98" s="247">
        <v>5</v>
      </c>
      <c r="K98" s="281" t="s">
        <v>329</v>
      </c>
      <c r="L98" s="247">
        <v>6</v>
      </c>
      <c r="N98" s="281" t="s">
        <v>330</v>
      </c>
      <c r="O98" s="247">
        <v>6</v>
      </c>
    </row>
    <row r="99" spans="2:15">
      <c r="B99" s="281" t="s">
        <v>358</v>
      </c>
      <c r="C99" s="247">
        <v>4</v>
      </c>
      <c r="E99" s="281" t="s">
        <v>359</v>
      </c>
      <c r="F99" s="247">
        <v>3</v>
      </c>
      <c r="H99" s="281" t="s">
        <v>360</v>
      </c>
      <c r="I99" s="247">
        <v>3</v>
      </c>
      <c r="K99" s="281" t="s">
        <v>361</v>
      </c>
      <c r="L99" s="247">
        <v>5</v>
      </c>
      <c r="N99" s="281" t="s">
        <v>362</v>
      </c>
      <c r="O99" s="247">
        <v>4</v>
      </c>
    </row>
    <row r="100" spans="2:15" ht="15" thickBot="1">
      <c r="B100" s="265" t="s">
        <v>363</v>
      </c>
      <c r="C100" s="343">
        <v>3</v>
      </c>
      <c r="E100" s="265"/>
      <c r="F100" s="267"/>
      <c r="H100" s="265"/>
      <c r="I100" s="267"/>
      <c r="K100" s="265" t="s">
        <v>360</v>
      </c>
      <c r="L100" s="267">
        <v>3</v>
      </c>
      <c r="N100" s="265" t="s">
        <v>364</v>
      </c>
      <c r="O100" s="343">
        <v>3</v>
      </c>
    </row>
    <row r="103" spans="2:15">
      <c r="B103" s="340" t="s">
        <v>35</v>
      </c>
      <c r="C103" s="244"/>
      <c r="E103" s="340" t="s">
        <v>241</v>
      </c>
      <c r="F103" s="244"/>
    </row>
    <row r="104" spans="2:15">
      <c r="B104" s="281"/>
      <c r="C104" s="247"/>
      <c r="E104" s="281"/>
      <c r="F104" s="247"/>
    </row>
    <row r="105" spans="2:15">
      <c r="B105" s="342">
        <v>0</v>
      </c>
      <c r="C105" s="247">
        <v>10</v>
      </c>
      <c r="E105" s="281" t="s">
        <v>365</v>
      </c>
      <c r="F105" s="247">
        <v>10</v>
      </c>
    </row>
    <row r="106" spans="2:15">
      <c r="B106" s="281" t="s">
        <v>350</v>
      </c>
      <c r="C106" s="247">
        <v>9</v>
      </c>
      <c r="E106" s="281" t="s">
        <v>366</v>
      </c>
      <c r="F106" s="247">
        <v>9</v>
      </c>
    </row>
    <row r="107" spans="2:15">
      <c r="B107" s="281" t="s">
        <v>329</v>
      </c>
      <c r="C107" s="247">
        <v>8</v>
      </c>
      <c r="E107" s="281" t="s">
        <v>367</v>
      </c>
      <c r="F107" s="247">
        <v>8</v>
      </c>
    </row>
    <row r="108" spans="2:15">
      <c r="B108" s="281" t="s">
        <v>346</v>
      </c>
      <c r="C108" s="247">
        <v>7</v>
      </c>
      <c r="E108" s="281" t="s">
        <v>368</v>
      </c>
      <c r="F108" s="247">
        <v>7</v>
      </c>
    </row>
    <row r="109" spans="2:15">
      <c r="B109" s="281" t="s">
        <v>345</v>
      </c>
      <c r="C109" s="247">
        <v>6</v>
      </c>
      <c r="E109" s="281" t="s">
        <v>369</v>
      </c>
      <c r="F109" s="247">
        <v>6</v>
      </c>
    </row>
    <row r="110" spans="2:15">
      <c r="B110" s="281" t="s">
        <v>354</v>
      </c>
      <c r="C110" s="247">
        <v>5</v>
      </c>
      <c r="E110" s="281" t="s">
        <v>370</v>
      </c>
      <c r="F110" s="247">
        <v>4</v>
      </c>
    </row>
    <row r="111" spans="2:15" ht="15" thickBot="1">
      <c r="B111" s="265" t="s">
        <v>359</v>
      </c>
      <c r="C111" s="267">
        <v>3</v>
      </c>
      <c r="E111" s="281" t="s">
        <v>371</v>
      </c>
      <c r="F111" s="247">
        <v>3</v>
      </c>
    </row>
    <row r="112" spans="2:15" ht="15" thickBot="1">
      <c r="B112" s="265"/>
      <c r="C112" s="267"/>
      <c r="E112" s="265"/>
      <c r="F112" s="267"/>
    </row>
    <row r="113" spans="2:6" ht="15" thickBot="1"/>
    <row r="114" spans="2:6" ht="15" thickBot="1">
      <c r="E114" s="340" t="s">
        <v>372</v>
      </c>
      <c r="F114" s="244"/>
    </row>
    <row r="115" spans="2:6">
      <c r="B115" s="340" t="s">
        <v>373</v>
      </c>
      <c r="C115" s="244"/>
      <c r="E115" s="281"/>
      <c r="F115" s="247"/>
    </row>
    <row r="116" spans="2:6">
      <c r="B116" s="281"/>
      <c r="C116" s="247"/>
      <c r="E116" s="281" t="s">
        <v>374</v>
      </c>
      <c r="F116" s="247">
        <v>10</v>
      </c>
    </row>
    <row r="117" spans="2:6">
      <c r="B117" s="281" t="s">
        <v>374</v>
      </c>
      <c r="C117" s="247">
        <v>10</v>
      </c>
      <c r="E117" s="281" t="s">
        <v>375</v>
      </c>
      <c r="F117" s="247">
        <v>9</v>
      </c>
    </row>
    <row r="118" spans="2:6">
      <c r="B118" s="281" t="s">
        <v>375</v>
      </c>
      <c r="C118" s="247">
        <v>9</v>
      </c>
      <c r="E118" s="281" t="s">
        <v>376</v>
      </c>
      <c r="F118" s="247">
        <v>8</v>
      </c>
    </row>
    <row r="119" spans="2:6">
      <c r="B119" s="281" t="s">
        <v>376</v>
      </c>
      <c r="C119" s="247">
        <v>8</v>
      </c>
      <c r="E119" s="281" t="s">
        <v>377</v>
      </c>
      <c r="F119" s="247">
        <v>7</v>
      </c>
    </row>
    <row r="120" spans="2:6">
      <c r="B120" s="281" t="s">
        <v>377</v>
      </c>
      <c r="C120" s="247">
        <v>7</v>
      </c>
      <c r="E120" s="281" t="s">
        <v>378</v>
      </c>
      <c r="F120" s="247">
        <v>6</v>
      </c>
    </row>
    <row r="121" spans="2:6">
      <c r="B121" s="281" t="s">
        <v>378</v>
      </c>
      <c r="C121" s="247">
        <v>6</v>
      </c>
      <c r="E121" s="281" t="s">
        <v>379</v>
      </c>
      <c r="F121" s="247">
        <v>4</v>
      </c>
    </row>
    <row r="122" spans="2:6" ht="15" thickBot="1">
      <c r="B122" s="281" t="s">
        <v>380</v>
      </c>
      <c r="C122" s="247">
        <v>4</v>
      </c>
      <c r="E122" s="265" t="s">
        <v>381</v>
      </c>
      <c r="F122" s="267">
        <v>3</v>
      </c>
    </row>
    <row r="123" spans="2:6" ht="15" thickBot="1">
      <c r="B123" s="265" t="s">
        <v>382</v>
      </c>
      <c r="C123" s="267">
        <v>3</v>
      </c>
    </row>
    <row r="124" spans="2:6" ht="15" thickBot="1"/>
    <row r="125" spans="2:6">
      <c r="B125" s="340" t="s">
        <v>383</v>
      </c>
      <c r="C125" s="244"/>
    </row>
    <row r="126" spans="2:6">
      <c r="B126" s="281"/>
      <c r="C126" s="247"/>
    </row>
    <row r="127" spans="2:6">
      <c r="B127" s="281" t="s">
        <v>374</v>
      </c>
      <c r="C127" s="247">
        <v>10</v>
      </c>
    </row>
    <row r="128" spans="2:6">
      <c r="B128" s="281" t="s">
        <v>375</v>
      </c>
      <c r="C128" s="247">
        <v>9</v>
      </c>
    </row>
    <row r="129" spans="1:4">
      <c r="B129" s="281" t="s">
        <v>376</v>
      </c>
      <c r="C129" s="247">
        <v>8</v>
      </c>
    </row>
    <row r="130" spans="1:4">
      <c r="B130" s="281" t="s">
        <v>377</v>
      </c>
      <c r="C130" s="247">
        <v>7</v>
      </c>
    </row>
    <row r="131" spans="1:4">
      <c r="B131" s="281" t="s">
        <v>378</v>
      </c>
      <c r="C131" s="247">
        <v>6</v>
      </c>
    </row>
    <row r="132" spans="1:4">
      <c r="B132" s="281" t="s">
        <v>380</v>
      </c>
      <c r="C132" s="247">
        <v>4</v>
      </c>
    </row>
    <row r="133" spans="1:4" ht="15" thickBot="1">
      <c r="B133" s="265" t="s">
        <v>382</v>
      </c>
      <c r="C133" s="267">
        <v>3</v>
      </c>
    </row>
    <row r="135" spans="1:4">
      <c r="A135" s="344" t="s">
        <v>217</v>
      </c>
      <c r="B135" s="345" t="s">
        <v>384</v>
      </c>
      <c r="C135" s="346" t="s">
        <v>91</v>
      </c>
      <c r="D135" s="347" t="s">
        <v>309</v>
      </c>
    </row>
    <row r="136" spans="1:4" ht="27.6">
      <c r="A136" s="272" t="s">
        <v>385</v>
      </c>
      <c r="B136" s="332">
        <v>10</v>
      </c>
      <c r="D136" s="247">
        <v>7</v>
      </c>
    </row>
    <row r="137" spans="1:4" ht="27.6">
      <c r="A137" s="272" t="s">
        <v>386</v>
      </c>
      <c r="B137" s="273">
        <v>10</v>
      </c>
      <c r="D137" s="247">
        <v>8</v>
      </c>
    </row>
    <row r="138" spans="1:4" ht="44.25" customHeight="1" thickBot="1">
      <c r="A138" s="348" t="s">
        <v>387</v>
      </c>
      <c r="B138" s="322">
        <v>10</v>
      </c>
      <c r="C138" s="349">
        <v>0.05</v>
      </c>
      <c r="D138" s="267">
        <f>IF((C138&gt;=10%),L94,IF(C138&gt;=5%,L95,IF(C138&gt;=2%,L96,IF(C138&gt;=1%,L97,IF(C138&gt;=0%,IF(C138&lt;=0%,L100))))))</f>
        <v>9</v>
      </c>
    </row>
    <row r="139" spans="1:4">
      <c r="A139" s="241"/>
      <c r="C139" s="279">
        <f>AVERAGE(D136:D138)</f>
        <v>8</v>
      </c>
      <c r="D139" s="240">
        <f>AVERAGE(D136:D138)</f>
        <v>8</v>
      </c>
    </row>
    <row r="140" spans="1:4">
      <c r="A140" s="241"/>
    </row>
    <row r="141" spans="1:4" ht="15" thickBot="1">
      <c r="A141" s="241" t="s">
        <v>388</v>
      </c>
    </row>
    <row r="142" spans="1:4">
      <c r="A142" s="241" t="s">
        <v>389</v>
      </c>
      <c r="B142" s="242" t="s">
        <v>390</v>
      </c>
      <c r="C142" s="244">
        <v>10</v>
      </c>
    </row>
    <row r="143" spans="1:4">
      <c r="B143" s="281" t="s">
        <v>329</v>
      </c>
      <c r="C143" s="247">
        <v>9</v>
      </c>
    </row>
    <row r="144" spans="1:4">
      <c r="B144" s="281" t="s">
        <v>391</v>
      </c>
      <c r="C144" s="247">
        <v>8</v>
      </c>
    </row>
    <row r="145" spans="2:3">
      <c r="B145" s="281" t="s">
        <v>392</v>
      </c>
      <c r="C145" s="247">
        <v>7</v>
      </c>
    </row>
    <row r="146" spans="2:3">
      <c r="B146" s="281" t="s">
        <v>393</v>
      </c>
      <c r="C146" s="247">
        <v>5</v>
      </c>
    </row>
    <row r="147" spans="2:3" ht="15" thickBot="1">
      <c r="B147" s="265" t="s">
        <v>360</v>
      </c>
      <c r="C147" s="267">
        <v>3</v>
      </c>
    </row>
  </sheetData>
  <conditionalFormatting sqref="D7">
    <cfRule type="cellIs" dxfId="4" priority="2" operator="between">
      <formula>$E$21</formula>
      <formula>$E$20</formula>
    </cfRule>
    <cfRule type="cellIs" dxfId="3" priority="3" operator="between">
      <formula>$E$22</formula>
      <formula>$E$21</formula>
    </cfRule>
    <cfRule type="cellIs" dxfId="2" priority="4" operator="between">
      <formula>$E$22</formula>
      <formula>1</formula>
    </cfRule>
    <cfRule type="cellIs" dxfId="1" priority="7" operator="lessThan">
      <formula>$E$23</formula>
    </cfRule>
    <cfRule type="cellIs" priority="8" operator="greaterThan">
      <formula>$E$20</formula>
    </cfRule>
  </conditionalFormatting>
  <conditionalFormatting sqref="G4">
    <cfRule type="cellIs" dxfId="0" priority="1" operator="greaterThan">
      <formula>$D$17</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C3:R17"/>
  <sheetViews>
    <sheetView showGridLines="0" tabSelected="1" topLeftCell="D1" workbookViewId="0">
      <selection activeCell="H13" sqref="H13"/>
    </sheetView>
  </sheetViews>
  <sheetFormatPr defaultRowHeight="14.4"/>
  <cols>
    <col min="7" max="7" width="19" customWidth="1"/>
    <col min="16" max="17" width="22" customWidth="1"/>
    <col min="18" max="18" width="24.5546875" bestFit="1" customWidth="1"/>
  </cols>
  <sheetData>
    <row r="3" spans="3:18" s="61" customFormat="1">
      <c r="P3" s="61" t="s">
        <v>460</v>
      </c>
      <c r="Q3" s="440">
        <v>1997</v>
      </c>
      <c r="R3" s="440">
        <v>2023</v>
      </c>
    </row>
    <row r="4" spans="3:18" ht="15">
      <c r="P4" s="111" t="s">
        <v>459</v>
      </c>
      <c r="Q4" s="442">
        <v>6</v>
      </c>
      <c r="R4" s="441">
        <v>6000</v>
      </c>
    </row>
    <row r="5" spans="3:18" ht="15">
      <c r="P5" s="111" t="s">
        <v>462</v>
      </c>
      <c r="Q5" s="433">
        <f>1000000000</f>
        <v>1000000000</v>
      </c>
      <c r="R5" s="433">
        <v>220003000000</v>
      </c>
    </row>
    <row r="6" spans="3:18" ht="15">
      <c r="P6" s="111" t="s">
        <v>463</v>
      </c>
      <c r="Q6" s="431">
        <f>Q5/6</f>
        <v>166666666.66666666</v>
      </c>
      <c r="R6" s="439">
        <v>44000000</v>
      </c>
    </row>
    <row r="7" spans="3:18" ht="15">
      <c r="E7" t="s">
        <v>447</v>
      </c>
      <c r="P7" s="111"/>
    </row>
    <row r="8" spans="3:18" ht="15">
      <c r="E8" t="s">
        <v>440</v>
      </c>
      <c r="P8" s="111" t="s">
        <v>461</v>
      </c>
      <c r="Q8" s="430">
        <v>515660000</v>
      </c>
      <c r="R8" s="433">
        <f>DCF!K5</f>
        <v>53834005</v>
      </c>
    </row>
    <row r="9" spans="3:18" ht="15">
      <c r="E9" t="s">
        <v>448</v>
      </c>
      <c r="P9" s="111" t="s">
        <v>464</v>
      </c>
      <c r="Q9" s="439">
        <f>Q8/6</f>
        <v>85943333.333333328</v>
      </c>
      <c r="R9" s="430">
        <f>R8/1000</f>
        <v>53834.004999999997</v>
      </c>
    </row>
    <row r="10" spans="3:18" ht="15">
      <c r="E10" t="s">
        <v>449</v>
      </c>
      <c r="P10" s="117"/>
      <c r="Q10" s="428"/>
    </row>
    <row r="11" spans="3:18" ht="15">
      <c r="E11" t="s">
        <v>455</v>
      </c>
      <c r="P11" s="111" t="s">
        <v>465</v>
      </c>
      <c r="Q11" s="442">
        <v>24</v>
      </c>
      <c r="R11" s="442">
        <v>856.75</v>
      </c>
    </row>
    <row r="12" spans="3:18" ht="15">
      <c r="C12" t="s">
        <v>454</v>
      </c>
      <c r="E12">
        <v>1</v>
      </c>
      <c r="F12" t="s">
        <v>452</v>
      </c>
      <c r="H12" s="413">
        <v>0.28270000000000001</v>
      </c>
      <c r="P12" s="111" t="s">
        <v>466</v>
      </c>
      <c r="Q12" s="429">
        <f>Q11/6</f>
        <v>4</v>
      </c>
      <c r="R12" s="443">
        <f>R11/6000</f>
        <v>0.14279166666666668</v>
      </c>
    </row>
    <row r="13" spans="3:18" ht="15">
      <c r="E13">
        <v>4</v>
      </c>
      <c r="F13" t="s">
        <v>450</v>
      </c>
      <c r="H13" s="413">
        <v>7.6700000000000004E-2</v>
      </c>
      <c r="P13" s="111"/>
      <c r="Q13" s="432"/>
    </row>
    <row r="14" spans="3:18" ht="15">
      <c r="E14">
        <v>6</v>
      </c>
      <c r="F14" t="s">
        <v>451</v>
      </c>
      <c r="H14" s="413">
        <v>4.53E-2</v>
      </c>
      <c r="P14" s="111"/>
      <c r="Q14" s="111"/>
    </row>
    <row r="15" spans="3:18" ht="15">
      <c r="P15" s="111" t="s">
        <v>467</v>
      </c>
      <c r="Q15" s="433">
        <f>41566870</f>
        <v>41566870</v>
      </c>
      <c r="R15" s="433">
        <f>DCF!C39</f>
        <v>239390000</v>
      </c>
    </row>
    <row r="16" spans="3:18" ht="15">
      <c r="E16" t="s">
        <v>453</v>
      </c>
      <c r="P16" s="117" t="s">
        <v>468</v>
      </c>
      <c r="Q16" s="433">
        <v>0</v>
      </c>
      <c r="R16" s="444">
        <f>(R15-Q15)/Q15</f>
        <v>4.7591538646041904</v>
      </c>
    </row>
    <row r="17" spans="16:17" ht="15">
      <c r="P17" s="111"/>
      <c r="Q17" s="43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Company Profile</vt:lpstr>
      <vt:lpstr>Financials HY</vt:lpstr>
      <vt:lpstr>Quarters</vt:lpstr>
      <vt:lpstr>Data Input</vt:lpstr>
      <vt:lpstr>Financials FY</vt:lpstr>
      <vt:lpstr>DCF</vt:lpstr>
      <vt:lpstr>WACC</vt:lpstr>
      <vt:lpstr>Key Factors</vt:lpstr>
      <vt:lpstr>Ratings</vt:lpstr>
      <vt:lpstr>Notes</vt:lpstr>
      <vt:lpstr>dcf_discount</vt:lpstr>
      <vt:lpstr>user_discount</vt:lpstr>
      <vt:lpstr>user_fcf</vt:lpstr>
      <vt:lpstr>user_growth</vt:lpstr>
      <vt:lpstr>WACC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2024-11-19T14:32:17Z</dcterms:modified>
</cp:coreProperties>
</file>